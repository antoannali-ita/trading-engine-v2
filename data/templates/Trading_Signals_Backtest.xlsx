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c0f9f7e7864f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de Journal" sheetId="1" r:id="R5789da722cb14b05"/>
    <x:sheet xmlns:r="http://schemas.openxmlformats.org/officeDocument/2006/relationships" name="Signal Log" sheetId="2" r:id="R80145bd2b8ca404c"/>
    <x:sheet xmlns:r="http://schemas.openxmlformats.org/officeDocument/2006/relationships" name="Dashboard" sheetId="3" r:id="R03798ea1f0a3408f"/>
    <x:sheet xmlns:r="http://schemas.openxmlformats.org/officeDocument/2006/relationships" name="Config" sheetId="4" r:id="R64dc633dd58f46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;[Red](#,##0.00);-"/>
    <x:numFmt numFmtId="201" formatCode="0.00%;[Red](0.00%);-"/>
    <x:numFmt numFmtId="202" formatCode="0.00x;[Red](0.00x);-"/>
    <x:numFmt numFmtId="203" formatCode="0"/>
    <x:numFmt numFmtId="204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200" fontId="2" fillId="0" borderId="1" xfId="0" applyNumberFormat="1" applyFont="1" applyFill="1" applyBorder="1" applyAlignment="1">
      <x:alignment wrapText="1"/>
    </x:xf>
    <x:xf numFmtId="203" fontId="2" fillId="0" borderId="0" xfId="0" applyNumberFormat="1" applyFont="1" applyFill="1" applyBorder="1" applyAlignment="1">
      <x:alignment wrapText="1"/>
    </x:xf>
    <x:xf numFmtId="203" fontId="2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200" fontId="3" fillId="0" borderId="1" xfId="0" applyNumberFormat="1" applyFont="1" applyFill="1" applyBorder="1" applyAlignment="1">
      <x:alignment wrapText="1"/>
    </x:xf>
    <x:xf numFmtId="201" fontId="3" fillId="0" borderId="0" xfId="0" applyNumberFormat="1" applyFont="1" applyFill="1" applyBorder="1" applyAlignment="1">
      <x:alignment wrapText="1"/>
    </x:xf>
    <x:xf numFmtId="201" fontId="3" fillId="0" borderId="1" xfId="0" applyNumberFormat="1" applyFont="1" applyFill="1" applyBorder="1" applyAlignment="1">
      <x:alignment wrapText="1"/>
    </x:xf>
    <x:xf numFmtId="202" fontId="3" fillId="0" borderId="0" xfId="0" applyNumberFormat="1" applyFont="1" applyFill="1" applyBorder="1" applyAlignment="1">
      <x:alignment wrapText="1"/>
    </x:xf>
    <x:xf numFmtId="202" fontId="3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  <x:dxfs count="4"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D9EAF7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6f196a2f8c42b6" /><Relationship Type="http://schemas.openxmlformats.org/officeDocument/2006/relationships/theme" Target="/xl/theme/theme1.xml" Id="R59be46f32b48440b" /><Relationship Type="http://schemas.openxmlformats.org/officeDocument/2006/relationships/sharedStrings" Target="/xl/sharedStrings.xml" Id="R31869f9c0ea2496f" /><Relationship Type="http://schemas.openxmlformats.org/officeDocument/2006/relationships/worksheet" Target="/xl/worksheets/sheet1.xml" Id="R5789da722cb14b05" /><Relationship Type="http://schemas.openxmlformats.org/officeDocument/2006/relationships/worksheet" Target="/xl/worksheets/sheet2.xml" Id="R80145bd2b8ca404c" /><Relationship Type="http://schemas.openxmlformats.org/officeDocument/2006/relationships/worksheet" Target="/xl/worksheets/sheet3.xml" Id="R03798ea1f0a3408f" /><Relationship Type="http://schemas.openxmlformats.org/officeDocument/2006/relationships/worksheet" Target="/xl/worksheets/sheet4.xml" Id="R64dc633dd58f46be" /></Relationships>
</file>

<file path=xl/tables/table1.xml><?xml version="1.0" encoding="utf-8"?>
<x:table xmlns:x="http://schemas.openxmlformats.org/spreadsheetml/2006/main" id="1" name="TradeJournalTable" displayName="TradeJournalTable" ref="A1:X201" headerRowCount="1" totalsRowCount="0" totalsRowShown="0">
  <x:tableColumns count="24">
    <x:tableColumn id="1" name="Trade ID"/>
    <x:tableColumn id="2" name="Mercato"/>
    <x:tableColumn id="3" name="Ticker"/>
    <x:tableColumn id="4" name="Strategia"/>
    <x:tableColumn id="5" name="Segnale"/>
    <x:tableColumn id="6" name="Data/Ora Segnale"/>
    <x:tableColumn id="7" name="Entry Prevista"/>
    <x:tableColumn id="8" name="Data/Ora Acquisto"/>
    <x:tableColumn id="9" name="Prezzo Acquisto"/>
    <x:tableColumn id="10" name="Quantità"/>
    <x:tableColumn id="11" name="Stop Loss"/>
    <x:tableColumn id="12" name="TP1"/>
    <x:tableColumn id="13" name="TP2"/>
    <x:tableColumn id="14" name="Data/Ora Uscita"/>
    <x:tableColumn id="15" name="Prezzo Uscita"/>
    <x:tableColumn id="16" name="Motivo Uscita"/>
    <x:tableColumn id="17" name="Stato"/>
    <x:tableColumn id="18" name="P/L Lordo"/>
    <x:tableColumn id="19" name="P/L %"/>
    <x:tableColumn id="20" name="R Multiplo"/>
    <x:tableColumn id="21" name="Quality"/>
    <x:tableColumn id="22" name="Opportunity"/>
    <x:tableColumn id="23" name="R/R Netto"/>
    <x:tableColumn id="24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ignalLogTable" displayName="SignalLogTable" ref="A1:T501" headerRowCount="1" totalsRowCount="0" totalsRowShown="0">
  <x:tableColumns count="20">
    <x:tableColumn id="1" name="Data/Ora"/>
    <x:tableColumn id="2" name="Mercato"/>
    <x:tableColumn id="3" name="Ticker"/>
    <x:tableColumn id="4" name="Strategia"/>
    <x:tableColumn id="5" name="Stato Motore"/>
    <x:tableColumn id="6" name="Prezzo"/>
    <x:tableColumn id="7" name="Buy Zone Min"/>
    <x:tableColumn id="8" name="Buy Zone Max"/>
    <x:tableColumn id="9" name="Max Buy"/>
    <x:tableColumn id="10" name="Stop"/>
    <x:tableColumn id="11" name="TP1"/>
    <x:tableColumn id="12" name="TP2"/>
    <x:tableColumn id="13" name="Quality"/>
    <x:tableColumn id="14" name="Opportunity"/>
    <x:tableColumn id="15" name="R/R Netto"/>
    <x:tableColumn id="16" name="Trigger"/>
    <x:tableColumn id="17" name="Volume Confirmed"/>
    <x:tableColumn id="18" name="Motivo"/>
    <x:tableColumn id="19" name="WhatsApp Inviato"/>
    <x:tableColumn id="20" name="Email Invia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0f5356eb2349f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f283a50669044c6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14" hidden="0" customWidth="1"/>
    <x:col min="6" max="6" width="19" hidden="0" customWidth="1"/>
    <x:col min="7" max="7" width="14" hidden="0" customWidth="1"/>
    <x:col min="8" max="8" width="19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9" hidden="0" customWidth="1"/>
    <x:col min="15" max="15" width="14" hidden="0" customWidth="1"/>
    <x:col min="16" max="16" width="22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22" hidden="0" customWidth="1"/>
  </x:cols>
  <x:sheetData>
    <x:row r="1" ht="20" customHeight="1">
      <x:c r="A1" s="6" t="str">
        <x:v>Trade ID</x:v>
      </x:c>
      <x:c r="B1" s="6" t="str">
        <x:v>Mercato</x:v>
      </x:c>
      <x:c r="C1" s="6" t="str">
        <x:v>Ticker</x:v>
      </x:c>
      <x:c r="D1" s="6" t="str">
        <x:v>Strategia</x:v>
      </x:c>
      <x:c r="E1" s="6" t="str">
        <x:v>Segnale</x:v>
      </x:c>
      <x:c r="F1" s="6" t="str">
        <x:v>Data/Ora Segnale</x:v>
      </x:c>
      <x:c r="G1" s="6" t="str">
        <x:v>Entry Prevista</x:v>
      </x:c>
      <x:c r="H1" s="6" t="str">
        <x:v>Data/Ora Acquisto</x:v>
      </x:c>
      <x:c r="I1" s="6" t="str">
        <x:v>Prezzo Acquisto</x:v>
      </x:c>
      <x:c r="J1" s="6" t="str">
        <x:v>Quantità</x:v>
      </x:c>
      <x:c r="K1" s="6" t="str">
        <x:v>Stop Loss</x:v>
      </x:c>
      <x:c r="L1" s="6" t="str">
        <x:v>TP1</x:v>
      </x:c>
      <x:c r="M1" s="6" t="str">
        <x:v>TP2</x:v>
      </x:c>
      <x:c r="N1" s="6" t="str">
        <x:v>Data/Ora Uscita</x:v>
      </x:c>
      <x:c r="O1" s="6" t="str">
        <x:v>Prezzo Uscita</x:v>
      </x:c>
      <x:c r="P1" s="6" t="str">
        <x:v>Motivo Uscita</x:v>
      </x:c>
      <x:c r="Q1" s="6" t="str">
        <x:v>Stato</x:v>
      </x:c>
      <x:c r="R1" s="6" t="str">
        <x:v>P/L Lordo</x:v>
      </x:c>
      <x:c r="S1" s="6" t="str">
        <x:v>P/L %</x:v>
      </x:c>
      <x:c r="T1" s="6" t="str">
        <x:v>R Multiplo</x:v>
      </x:c>
      <x:c r="U1" s="6" t="str">
        <x:v>Quality</x:v>
      </x:c>
      <x:c r="V1" s="6" t="str">
        <x:v>Opportunity</x:v>
      </x:c>
      <x:c r="W1" s="6" t="str">
        <x:v>R/R Netto</x:v>
      </x:c>
      <x:c r="X1" s="6" t="str">
        <x:v>Note</x:v>
      </x:c>
    </x:row>
    <x:row r="2" ht="20" customHeight="1">
      <x:c r="A2" s="28" t="str">
        <x:f>IF(C2="","",ROW()-1)</x:f>
      </x:c>
      <x:c r="B2" s="22"/>
      <x:c r="C2" s="22"/>
      <x:c r="D2" s="22"/>
      <x:c r="E2" s="22"/>
      <x:c r="F2" s="22"/>
      <x:c r="G2" s="24"/>
      <x:c r="H2" s="22"/>
      <x:c r="I2" s="24"/>
      <x:c r="J2" s="26"/>
      <x:c r="K2" s="24"/>
      <x:c r="L2" s="24"/>
      <x:c r="M2" s="24"/>
      <x:c r="N2" s="22"/>
      <x:c r="O2" s="24"/>
      <x:c r="P2" s="22"/>
      <x:c r="Q2" s="28" t="str">
        <x:f>IF(C2="","",IF(N2&lt;&gt;"","CHIUSO",IF(H2&lt;&gt;"","APERTO","SEGNALE")))</x:f>
      </x:c>
      <x:c r="R2" s="30" t="str">
        <x:f>IF(OR(I2="",O2="",J2=""),"",((O2-I2)*J2))</x:f>
      </x:c>
      <x:c r="S2" s="32" t="str">
        <x:f>IF(OR(I2="",O2=""),"",(O2/I2)-1)</x:f>
      </x:c>
      <x:c r="T2" s="34" t="str">
        <x:f>IF(OR(I2="",O2="",K2="",I2=K2),"",(O2-I2)/(I2-K2))</x:f>
      </x:c>
      <x:c r="U2" s="26"/>
      <x:c r="V2" s="26"/>
      <x:c r="W2" s="24"/>
      <x:c r="X2" s="22"/>
    </x:row>
    <x:row r="3" ht="20" customHeight="1">
      <x:c r="A3" s="28" t="str">
        <x:f>IF(C3="","",ROW()-1)</x:f>
      </x:c>
      <x:c r="B3" s="22"/>
      <x:c r="C3" s="22"/>
      <x:c r="D3" s="22"/>
      <x:c r="E3" s="22"/>
      <x:c r="F3" s="22"/>
      <x:c r="G3" s="24"/>
      <x:c r="H3" s="22"/>
      <x:c r="I3" s="24"/>
      <x:c r="J3" s="26"/>
      <x:c r="K3" s="24"/>
      <x:c r="L3" s="24"/>
      <x:c r="M3" s="24"/>
      <x:c r="N3" s="22"/>
      <x:c r="O3" s="24"/>
      <x:c r="P3" s="22"/>
      <x:c r="Q3" s="28" t="str">
        <x:f>IF(C3="","",IF(N3&lt;&gt;"","CHIUSO",IF(H3&lt;&gt;"","APERTO","SEGNALE")))</x:f>
      </x:c>
      <x:c r="R3" s="30" t="str">
        <x:f>IF(OR(I3="",O3="",J3=""),"",((O3-I3)*J3))</x:f>
      </x:c>
      <x:c r="S3" s="32" t="str">
        <x:f>IF(OR(I3="",O3=""),"",(O3/I3)-1)</x:f>
      </x:c>
      <x:c r="T3" s="34" t="str">
        <x:f>IF(OR(I3="",O3="",K3="",I3=K3),"",(O3-I3)/(I3-K3))</x:f>
      </x:c>
      <x:c r="U3" s="26"/>
      <x:c r="V3" s="26"/>
      <x:c r="W3" s="24"/>
      <x:c r="X3" s="22"/>
    </x:row>
    <x:row r="4" ht="20" customHeight="1">
      <x:c r="A4" s="28" t="str">
        <x:f>IF(C4="","",ROW()-1)</x:f>
      </x:c>
      <x:c r="B4" s="22"/>
      <x:c r="C4" s="22"/>
      <x:c r="D4" s="22"/>
      <x:c r="E4" s="22"/>
      <x:c r="F4" s="22"/>
      <x:c r="G4" s="24"/>
      <x:c r="H4" s="22"/>
      <x:c r="I4" s="24"/>
      <x:c r="J4" s="26"/>
      <x:c r="K4" s="24"/>
      <x:c r="L4" s="24"/>
      <x:c r="M4" s="24"/>
      <x:c r="N4" s="22"/>
      <x:c r="O4" s="24"/>
      <x:c r="P4" s="22"/>
      <x:c r="Q4" s="28" t="str">
        <x:f>IF(C4="","",IF(N4&lt;&gt;"","CHIUSO",IF(H4&lt;&gt;"","APERTO","SEGNALE")))</x:f>
      </x:c>
      <x:c r="R4" s="30" t="str">
        <x:f>IF(OR(I4="",O4="",J4=""),"",((O4-I4)*J4))</x:f>
      </x:c>
      <x:c r="S4" s="32" t="str">
        <x:f>IF(OR(I4="",O4=""),"",(O4/I4)-1)</x:f>
      </x:c>
      <x:c r="T4" s="34" t="str">
        <x:f>IF(OR(I4="",O4="",K4="",I4=K4),"",(O4-I4)/(I4-K4))</x:f>
      </x:c>
      <x:c r="U4" s="26"/>
      <x:c r="V4" s="26"/>
      <x:c r="W4" s="24"/>
      <x:c r="X4" s="22"/>
    </x:row>
    <x:row r="5" ht="20" customHeight="1">
      <x:c r="A5" s="28" t="str">
        <x:f>IF(C5="","",ROW()-1)</x:f>
      </x:c>
      <x:c r="B5" s="22"/>
      <x:c r="C5" s="22"/>
      <x:c r="D5" s="22"/>
      <x:c r="E5" s="22"/>
      <x:c r="F5" s="22"/>
      <x:c r="G5" s="24"/>
      <x:c r="H5" s="22"/>
      <x:c r="I5" s="24"/>
      <x:c r="J5" s="26"/>
      <x:c r="K5" s="24"/>
      <x:c r="L5" s="24"/>
      <x:c r="M5" s="24"/>
      <x:c r="N5" s="22"/>
      <x:c r="O5" s="24"/>
      <x:c r="P5" s="22"/>
      <x:c r="Q5" s="28" t="str">
        <x:f>IF(C5="","",IF(N5&lt;&gt;"","CHIUSO",IF(H5&lt;&gt;"","APERTO","SEGNALE")))</x:f>
      </x:c>
      <x:c r="R5" s="30" t="str">
        <x:f>IF(OR(I5="",O5="",J5=""),"",((O5-I5)*J5))</x:f>
      </x:c>
      <x:c r="S5" s="32" t="str">
        <x:f>IF(OR(I5="",O5=""),"",(O5/I5)-1)</x:f>
      </x:c>
      <x:c r="T5" s="34" t="str">
        <x:f>IF(OR(I5="",O5="",K5="",I5=K5),"",(O5-I5)/(I5-K5))</x:f>
      </x:c>
      <x:c r="U5" s="26"/>
      <x:c r="V5" s="26"/>
      <x:c r="W5" s="24"/>
      <x:c r="X5" s="22"/>
    </x:row>
    <x:row r="6" ht="20" customHeight="1">
      <x:c r="A6" s="28" t="str">
        <x:f>IF(C6="","",ROW()-1)</x:f>
      </x:c>
      <x:c r="B6" s="22"/>
      <x:c r="C6" s="22"/>
      <x:c r="D6" s="22"/>
      <x:c r="E6" s="22"/>
      <x:c r="F6" s="22"/>
      <x:c r="G6" s="24"/>
      <x:c r="H6" s="22"/>
      <x:c r="I6" s="24"/>
      <x:c r="J6" s="26"/>
      <x:c r="K6" s="24"/>
      <x:c r="L6" s="24"/>
      <x:c r="M6" s="24"/>
      <x:c r="N6" s="22"/>
      <x:c r="O6" s="24"/>
      <x:c r="P6" s="22"/>
      <x:c r="Q6" s="28" t="str">
        <x:f>IF(C6="","",IF(N6&lt;&gt;"","CHIUSO",IF(H6&lt;&gt;"","APERTO","SEGNALE")))</x:f>
      </x:c>
      <x:c r="R6" s="30" t="str">
        <x:f>IF(OR(I6="",O6="",J6=""),"",((O6-I6)*J6))</x:f>
      </x:c>
      <x:c r="S6" s="32" t="str">
        <x:f>IF(OR(I6="",O6=""),"",(O6/I6)-1)</x:f>
      </x:c>
      <x:c r="T6" s="34" t="str">
        <x:f>IF(OR(I6="",O6="",K6="",I6=K6),"",(O6-I6)/(I6-K6))</x:f>
      </x:c>
      <x:c r="U6" s="26"/>
      <x:c r="V6" s="26"/>
      <x:c r="W6" s="24"/>
      <x:c r="X6" s="22"/>
    </x:row>
    <x:row r="7" ht="20" customHeight="1">
      <x:c r="A7" s="28" t="str">
        <x:f>IF(C7="","",ROW()-1)</x:f>
      </x:c>
      <x:c r="B7" s="22"/>
      <x:c r="C7" s="22"/>
      <x:c r="D7" s="22"/>
      <x:c r="E7" s="22"/>
      <x:c r="F7" s="22"/>
      <x:c r="G7" s="24"/>
      <x:c r="H7" s="22"/>
      <x:c r="I7" s="24"/>
      <x:c r="J7" s="26"/>
      <x:c r="K7" s="24"/>
      <x:c r="L7" s="24"/>
      <x:c r="M7" s="24"/>
      <x:c r="N7" s="22"/>
      <x:c r="O7" s="24"/>
      <x:c r="P7" s="22"/>
      <x:c r="Q7" s="28" t="str">
        <x:f>IF(C7="","",IF(N7&lt;&gt;"","CHIUSO",IF(H7&lt;&gt;"","APERTO","SEGNALE")))</x:f>
      </x:c>
      <x:c r="R7" s="30" t="str">
        <x:f>IF(OR(I7="",O7="",J7=""),"",((O7-I7)*J7))</x:f>
      </x:c>
      <x:c r="S7" s="32" t="str">
        <x:f>IF(OR(I7="",O7=""),"",(O7/I7)-1)</x:f>
      </x:c>
      <x:c r="T7" s="34" t="str">
        <x:f>IF(OR(I7="",O7="",K7="",I7=K7),"",(O7-I7)/(I7-K7))</x:f>
      </x:c>
      <x:c r="U7" s="26"/>
      <x:c r="V7" s="26"/>
      <x:c r="W7" s="24"/>
      <x:c r="X7" s="22"/>
    </x:row>
    <x:row r="8" ht="20" customHeight="1">
      <x:c r="A8" s="28" t="str">
        <x:f>IF(C8="","",ROW()-1)</x:f>
      </x:c>
      <x:c r="B8" s="22"/>
      <x:c r="C8" s="22"/>
      <x:c r="D8" s="22"/>
      <x:c r="E8" s="22"/>
      <x:c r="F8" s="22"/>
      <x:c r="G8" s="24"/>
      <x:c r="H8" s="22"/>
      <x:c r="I8" s="24"/>
      <x:c r="J8" s="26"/>
      <x:c r="K8" s="24"/>
      <x:c r="L8" s="24"/>
      <x:c r="M8" s="24"/>
      <x:c r="N8" s="22"/>
      <x:c r="O8" s="24"/>
      <x:c r="P8" s="22"/>
      <x:c r="Q8" s="28" t="str">
        <x:f>IF(C8="","",IF(N8&lt;&gt;"","CHIUSO",IF(H8&lt;&gt;"","APERTO","SEGNALE")))</x:f>
      </x:c>
      <x:c r="R8" s="30" t="str">
        <x:f>IF(OR(I8="",O8="",J8=""),"",((O8-I8)*J8))</x:f>
      </x:c>
      <x:c r="S8" s="32" t="str">
        <x:f>IF(OR(I8="",O8=""),"",(O8/I8)-1)</x:f>
      </x:c>
      <x:c r="T8" s="34" t="str">
        <x:f>IF(OR(I8="",O8="",K8="",I8=K8),"",(O8-I8)/(I8-K8))</x:f>
      </x:c>
      <x:c r="U8" s="26"/>
      <x:c r="V8" s="26"/>
      <x:c r="W8" s="24"/>
      <x:c r="X8" s="22"/>
    </x:row>
    <x:row r="9" ht="20" customHeight="1">
      <x:c r="A9" s="28" t="str">
        <x:f>IF(C9="","",ROW()-1)</x:f>
      </x:c>
      <x:c r="B9" s="22"/>
      <x:c r="C9" s="22"/>
      <x:c r="D9" s="22"/>
      <x:c r="E9" s="22"/>
      <x:c r="F9" s="22"/>
      <x:c r="G9" s="24"/>
      <x:c r="H9" s="22"/>
      <x:c r="I9" s="24"/>
      <x:c r="J9" s="26"/>
      <x:c r="K9" s="24"/>
      <x:c r="L9" s="24"/>
      <x:c r="M9" s="24"/>
      <x:c r="N9" s="22"/>
      <x:c r="O9" s="24"/>
      <x:c r="P9" s="22"/>
      <x:c r="Q9" s="28" t="str">
        <x:f>IF(C9="","",IF(N9&lt;&gt;"","CHIUSO",IF(H9&lt;&gt;"","APERTO","SEGNALE")))</x:f>
      </x:c>
      <x:c r="R9" s="30" t="str">
        <x:f>IF(OR(I9="",O9="",J9=""),"",((O9-I9)*J9))</x:f>
      </x:c>
      <x:c r="S9" s="32" t="str">
        <x:f>IF(OR(I9="",O9=""),"",(O9/I9)-1)</x:f>
      </x:c>
      <x:c r="T9" s="34" t="str">
        <x:f>IF(OR(I9="",O9="",K9="",I9=K9),"",(O9-I9)/(I9-K9))</x:f>
      </x:c>
      <x:c r="U9" s="26"/>
      <x:c r="V9" s="26"/>
      <x:c r="W9" s="24"/>
      <x:c r="X9" s="22"/>
    </x:row>
    <x:row r="10" ht="20" customHeight="1">
      <x:c r="A10" s="28" t="str">
        <x:f>IF(C10="","",ROW()-1)</x:f>
      </x:c>
      <x:c r="B10" s="22"/>
      <x:c r="C10" s="22"/>
      <x:c r="D10" s="22"/>
      <x:c r="E10" s="22"/>
      <x:c r="F10" s="22"/>
      <x:c r="G10" s="24"/>
      <x:c r="H10" s="22"/>
      <x:c r="I10" s="24"/>
      <x:c r="J10" s="26"/>
      <x:c r="K10" s="24"/>
      <x:c r="L10" s="24"/>
      <x:c r="M10" s="24"/>
      <x:c r="N10" s="22"/>
      <x:c r="O10" s="24"/>
      <x:c r="P10" s="22"/>
      <x:c r="Q10" s="28" t="str">
        <x:f>IF(C10="","",IF(N10&lt;&gt;"","CHIUSO",IF(H10&lt;&gt;"","APERTO","SEGNALE")))</x:f>
      </x:c>
      <x:c r="R10" s="30" t="str">
        <x:f>IF(OR(I10="",O10="",J10=""),"",((O10-I10)*J10))</x:f>
      </x:c>
      <x:c r="S10" s="32" t="str">
        <x:f>IF(OR(I10="",O10=""),"",(O10/I10)-1)</x:f>
      </x:c>
      <x:c r="T10" s="34" t="str">
        <x:f>IF(OR(I10="",O10="",K10="",I10=K10),"",(O10-I10)/(I10-K10))</x:f>
      </x:c>
      <x:c r="U10" s="26"/>
      <x:c r="V10" s="26"/>
      <x:c r="W10" s="24"/>
      <x:c r="X10" s="22"/>
    </x:row>
    <x:row r="11" ht="20" customHeight="1">
      <x:c r="A11" s="28" t="str">
        <x:f>IF(C11="","",ROW()-1)</x:f>
      </x:c>
      <x:c r="B11" s="22"/>
      <x:c r="C11" s="22"/>
      <x:c r="D11" s="22"/>
      <x:c r="E11" s="22"/>
      <x:c r="F11" s="22"/>
      <x:c r="G11" s="24"/>
      <x:c r="H11" s="22"/>
      <x:c r="I11" s="24"/>
      <x:c r="J11" s="26"/>
      <x:c r="K11" s="24"/>
      <x:c r="L11" s="24"/>
      <x:c r="M11" s="24"/>
      <x:c r="N11" s="22"/>
      <x:c r="O11" s="24"/>
      <x:c r="P11" s="22"/>
      <x:c r="Q11" s="28" t="str">
        <x:f>IF(C11="","",IF(N11&lt;&gt;"","CHIUSO",IF(H11&lt;&gt;"","APERTO","SEGNALE")))</x:f>
      </x:c>
      <x:c r="R11" s="30" t="str">
        <x:f>IF(OR(I11="",O11="",J11=""),"",((O11-I11)*J11))</x:f>
      </x:c>
      <x:c r="S11" s="32" t="str">
        <x:f>IF(OR(I11="",O11=""),"",(O11/I11)-1)</x:f>
      </x:c>
      <x:c r="T11" s="34" t="str">
        <x:f>IF(OR(I11="",O11="",K11="",I11=K11),"",(O11-I11)/(I11-K11))</x:f>
      </x:c>
      <x:c r="U11" s="26"/>
      <x:c r="V11" s="26"/>
      <x:c r="W11" s="24"/>
      <x:c r="X11" s="22"/>
    </x:row>
    <x:row r="12" ht="20" customHeight="1">
      <x:c r="A12" s="28" t="str">
        <x:f>IF(C12="","",ROW()-1)</x:f>
      </x:c>
      <x:c r="B12" s="22"/>
      <x:c r="C12" s="22"/>
      <x:c r="D12" s="22"/>
      <x:c r="E12" s="22"/>
      <x:c r="F12" s="22"/>
      <x:c r="G12" s="24"/>
      <x:c r="H12" s="22"/>
      <x:c r="I12" s="24"/>
      <x:c r="J12" s="26"/>
      <x:c r="K12" s="24"/>
      <x:c r="L12" s="24"/>
      <x:c r="M12" s="24"/>
      <x:c r="N12" s="22"/>
      <x:c r="O12" s="24"/>
      <x:c r="P12" s="22"/>
      <x:c r="Q12" s="28" t="str">
        <x:f>IF(C12="","",IF(N12&lt;&gt;"","CHIUSO",IF(H12&lt;&gt;"","APERTO","SEGNALE")))</x:f>
      </x:c>
      <x:c r="R12" s="30" t="str">
        <x:f>IF(OR(I12="",O12="",J12=""),"",((O12-I12)*J12))</x:f>
      </x:c>
      <x:c r="S12" s="32" t="str">
        <x:f>IF(OR(I12="",O12=""),"",(O12/I12)-1)</x:f>
      </x:c>
      <x:c r="T12" s="34" t="str">
        <x:f>IF(OR(I12="",O12="",K12="",I12=K12),"",(O12-I12)/(I12-K12))</x:f>
      </x:c>
      <x:c r="U12" s="26"/>
      <x:c r="V12" s="26"/>
      <x:c r="W12" s="24"/>
      <x:c r="X12" s="22"/>
    </x:row>
    <x:row r="13" ht="20" customHeight="1">
      <x:c r="A13" s="28" t="str">
        <x:f>IF(C13="","",ROW()-1)</x:f>
      </x:c>
      <x:c r="B13" s="22"/>
      <x:c r="C13" s="22"/>
      <x:c r="D13" s="22"/>
      <x:c r="E13" s="22"/>
      <x:c r="F13" s="22"/>
      <x:c r="G13" s="24"/>
      <x:c r="H13" s="22"/>
      <x:c r="I13" s="24"/>
      <x:c r="J13" s="26"/>
      <x:c r="K13" s="24"/>
      <x:c r="L13" s="24"/>
      <x:c r="M13" s="24"/>
      <x:c r="N13" s="22"/>
      <x:c r="O13" s="24"/>
      <x:c r="P13" s="22"/>
      <x:c r="Q13" s="28" t="str">
        <x:f>IF(C13="","",IF(N13&lt;&gt;"","CHIUSO",IF(H13&lt;&gt;"","APERTO","SEGNALE")))</x:f>
      </x:c>
      <x:c r="R13" s="30" t="str">
        <x:f>IF(OR(I13="",O13="",J13=""),"",((O13-I13)*J13))</x:f>
      </x:c>
      <x:c r="S13" s="32" t="str">
        <x:f>IF(OR(I13="",O13=""),"",(O13/I13)-1)</x:f>
      </x:c>
      <x:c r="T13" s="34" t="str">
        <x:f>IF(OR(I13="",O13="",K13="",I13=K13),"",(O13-I13)/(I13-K13))</x:f>
      </x:c>
      <x:c r="U13" s="26"/>
      <x:c r="V13" s="26"/>
      <x:c r="W13" s="24"/>
      <x:c r="X13" s="22"/>
    </x:row>
    <x:row r="14" ht="20" customHeight="1">
      <x:c r="A14" s="28" t="str">
        <x:f>IF(C14="","",ROW()-1)</x:f>
      </x:c>
      <x:c r="B14" s="22"/>
      <x:c r="C14" s="22"/>
      <x:c r="D14" s="22"/>
      <x:c r="E14" s="22"/>
      <x:c r="F14" s="22"/>
      <x:c r="G14" s="24"/>
      <x:c r="H14" s="22"/>
      <x:c r="I14" s="24"/>
      <x:c r="J14" s="26"/>
      <x:c r="K14" s="24"/>
      <x:c r="L14" s="24"/>
      <x:c r="M14" s="24"/>
      <x:c r="N14" s="22"/>
      <x:c r="O14" s="24"/>
      <x:c r="P14" s="22"/>
      <x:c r="Q14" s="28" t="str">
        <x:f>IF(C14="","",IF(N14&lt;&gt;"","CHIUSO",IF(H14&lt;&gt;"","APERTO","SEGNALE")))</x:f>
      </x:c>
      <x:c r="R14" s="30" t="str">
        <x:f>IF(OR(I14="",O14="",J14=""),"",((O14-I14)*J14))</x:f>
      </x:c>
      <x:c r="S14" s="32" t="str">
        <x:f>IF(OR(I14="",O14=""),"",(O14/I14)-1)</x:f>
      </x:c>
      <x:c r="T14" s="34" t="str">
        <x:f>IF(OR(I14="",O14="",K14="",I14=K14),"",(O14-I14)/(I14-K14))</x:f>
      </x:c>
      <x:c r="U14" s="26"/>
      <x:c r="V14" s="26"/>
      <x:c r="W14" s="24"/>
      <x:c r="X14" s="22"/>
    </x:row>
    <x:row r="15" ht="20" customHeight="1">
      <x:c r="A15" s="28" t="str">
        <x:f>IF(C15="","",ROW()-1)</x:f>
      </x:c>
      <x:c r="B15" s="22"/>
      <x:c r="C15" s="22"/>
      <x:c r="D15" s="22"/>
      <x:c r="E15" s="22"/>
      <x:c r="F15" s="22"/>
      <x:c r="G15" s="24"/>
      <x:c r="H15" s="22"/>
      <x:c r="I15" s="24"/>
      <x:c r="J15" s="26"/>
      <x:c r="K15" s="24"/>
      <x:c r="L15" s="24"/>
      <x:c r="M15" s="24"/>
      <x:c r="N15" s="22"/>
      <x:c r="O15" s="24"/>
      <x:c r="P15" s="22"/>
      <x:c r="Q15" s="28" t="str">
        <x:f>IF(C15="","",IF(N15&lt;&gt;"","CHIUSO",IF(H15&lt;&gt;"","APERTO","SEGNALE")))</x:f>
      </x:c>
      <x:c r="R15" s="30" t="str">
        <x:f>IF(OR(I15="",O15="",J15=""),"",((O15-I15)*J15))</x:f>
      </x:c>
      <x:c r="S15" s="32" t="str">
        <x:f>IF(OR(I15="",O15=""),"",(O15/I15)-1)</x:f>
      </x:c>
      <x:c r="T15" s="34" t="str">
        <x:f>IF(OR(I15="",O15="",K15="",I15=K15),"",(O15-I15)/(I15-K15))</x:f>
      </x:c>
      <x:c r="U15" s="26"/>
      <x:c r="V15" s="26"/>
      <x:c r="W15" s="24"/>
      <x:c r="X15" s="22"/>
    </x:row>
    <x:row r="16" ht="20" customHeight="1">
      <x:c r="A16" s="28" t="str">
        <x:f>IF(C16="","",ROW()-1)</x:f>
      </x:c>
      <x:c r="B16" s="22"/>
      <x:c r="C16" s="22"/>
      <x:c r="D16" s="22"/>
      <x:c r="E16" s="22"/>
      <x:c r="F16" s="22"/>
      <x:c r="G16" s="24"/>
      <x:c r="H16" s="22"/>
      <x:c r="I16" s="24"/>
      <x:c r="J16" s="26"/>
      <x:c r="K16" s="24"/>
      <x:c r="L16" s="24"/>
      <x:c r="M16" s="24"/>
      <x:c r="N16" s="22"/>
      <x:c r="O16" s="24"/>
      <x:c r="P16" s="22"/>
      <x:c r="Q16" s="28" t="str">
        <x:f>IF(C16="","",IF(N16&lt;&gt;"","CHIUSO",IF(H16&lt;&gt;"","APERTO","SEGNALE")))</x:f>
      </x:c>
      <x:c r="R16" s="30" t="str">
        <x:f>IF(OR(I16="",O16="",J16=""),"",((O16-I16)*J16))</x:f>
      </x:c>
      <x:c r="S16" s="32" t="str">
        <x:f>IF(OR(I16="",O16=""),"",(O16/I16)-1)</x:f>
      </x:c>
      <x:c r="T16" s="34" t="str">
        <x:f>IF(OR(I16="",O16="",K16="",I16=K16),"",(O16-I16)/(I16-K16))</x:f>
      </x:c>
      <x:c r="U16" s="26"/>
      <x:c r="V16" s="26"/>
      <x:c r="W16" s="24"/>
      <x:c r="X16" s="22"/>
    </x:row>
    <x:row r="17" ht="20" customHeight="1">
      <x:c r="A17" s="28" t="str">
        <x:f>IF(C17="","",ROW()-1)</x:f>
      </x:c>
      <x:c r="B17" s="22"/>
      <x:c r="C17" s="22"/>
      <x:c r="D17" s="22"/>
      <x:c r="E17" s="22"/>
      <x:c r="F17" s="22"/>
      <x:c r="G17" s="24"/>
      <x:c r="H17" s="22"/>
      <x:c r="I17" s="24"/>
      <x:c r="J17" s="26"/>
      <x:c r="K17" s="24"/>
      <x:c r="L17" s="24"/>
      <x:c r="M17" s="24"/>
      <x:c r="N17" s="22"/>
      <x:c r="O17" s="24"/>
      <x:c r="P17" s="22"/>
      <x:c r="Q17" s="28" t="str">
        <x:f>IF(C17="","",IF(N17&lt;&gt;"","CHIUSO",IF(H17&lt;&gt;"","APERTO","SEGNALE")))</x:f>
      </x:c>
      <x:c r="R17" s="30" t="str">
        <x:f>IF(OR(I17="",O17="",J17=""),"",((O17-I17)*J17))</x:f>
      </x:c>
      <x:c r="S17" s="32" t="str">
        <x:f>IF(OR(I17="",O17=""),"",(O17/I17)-1)</x:f>
      </x:c>
      <x:c r="T17" s="34" t="str">
        <x:f>IF(OR(I17="",O17="",K17="",I17=K17),"",(O17-I17)/(I17-K17))</x:f>
      </x:c>
      <x:c r="U17" s="26"/>
      <x:c r="V17" s="26"/>
      <x:c r="W17" s="24"/>
      <x:c r="X17" s="22"/>
    </x:row>
    <x:row r="18" ht="20" customHeight="1">
      <x:c r="A18" s="28" t="str">
        <x:f>IF(C18="","",ROW()-1)</x:f>
      </x:c>
      <x:c r="B18" s="22"/>
      <x:c r="C18" s="22"/>
      <x:c r="D18" s="22"/>
      <x:c r="E18" s="22"/>
      <x:c r="F18" s="22"/>
      <x:c r="G18" s="24"/>
      <x:c r="H18" s="22"/>
      <x:c r="I18" s="24"/>
      <x:c r="J18" s="26"/>
      <x:c r="K18" s="24"/>
      <x:c r="L18" s="24"/>
      <x:c r="M18" s="24"/>
      <x:c r="N18" s="22"/>
      <x:c r="O18" s="24"/>
      <x:c r="P18" s="22"/>
      <x:c r="Q18" s="28" t="str">
        <x:f>IF(C18="","",IF(N18&lt;&gt;"","CHIUSO",IF(H18&lt;&gt;"","APERTO","SEGNALE")))</x:f>
      </x:c>
      <x:c r="R18" s="30" t="str">
        <x:f>IF(OR(I18="",O18="",J18=""),"",((O18-I18)*J18))</x:f>
      </x:c>
      <x:c r="S18" s="32" t="str">
        <x:f>IF(OR(I18="",O18=""),"",(O18/I18)-1)</x:f>
      </x:c>
      <x:c r="T18" s="34" t="str">
        <x:f>IF(OR(I18="",O18="",K18="",I18=K18),"",(O18-I18)/(I18-K18))</x:f>
      </x:c>
      <x:c r="U18" s="26"/>
      <x:c r="V18" s="26"/>
      <x:c r="W18" s="24"/>
      <x:c r="X18" s="22"/>
    </x:row>
    <x:row r="19" ht="20" customHeight="1">
      <x:c r="A19" s="28" t="str">
        <x:f>IF(C19="","",ROW()-1)</x:f>
      </x:c>
      <x:c r="B19" s="22"/>
      <x:c r="C19" s="22"/>
      <x:c r="D19" s="22"/>
      <x:c r="E19" s="22"/>
      <x:c r="F19" s="22"/>
      <x:c r="G19" s="24"/>
      <x:c r="H19" s="22"/>
      <x:c r="I19" s="24"/>
      <x:c r="J19" s="26"/>
      <x:c r="K19" s="24"/>
      <x:c r="L19" s="24"/>
      <x:c r="M19" s="24"/>
      <x:c r="N19" s="22"/>
      <x:c r="O19" s="24"/>
      <x:c r="P19" s="22"/>
      <x:c r="Q19" s="28" t="str">
        <x:f>IF(C19="","",IF(N19&lt;&gt;"","CHIUSO",IF(H19&lt;&gt;"","APERTO","SEGNALE")))</x:f>
      </x:c>
      <x:c r="R19" s="30" t="str">
        <x:f>IF(OR(I19="",O19="",J19=""),"",((O19-I19)*J19))</x:f>
      </x:c>
      <x:c r="S19" s="32" t="str">
        <x:f>IF(OR(I19="",O19=""),"",(O19/I19)-1)</x:f>
      </x:c>
      <x:c r="T19" s="34" t="str">
        <x:f>IF(OR(I19="",O19="",K19="",I19=K19),"",(O19-I19)/(I19-K19))</x:f>
      </x:c>
      <x:c r="U19" s="26"/>
      <x:c r="V19" s="26"/>
      <x:c r="W19" s="24"/>
      <x:c r="X19" s="22"/>
    </x:row>
    <x:row r="20" ht="20" customHeight="1">
      <x:c r="A20" s="28" t="str">
        <x:f>IF(C20="","",ROW()-1)</x:f>
      </x:c>
      <x:c r="B20" s="22"/>
      <x:c r="C20" s="22"/>
      <x:c r="D20" s="22"/>
      <x:c r="E20" s="22"/>
      <x:c r="F20" s="22"/>
      <x:c r="G20" s="24"/>
      <x:c r="H20" s="22"/>
      <x:c r="I20" s="24"/>
      <x:c r="J20" s="26"/>
      <x:c r="K20" s="24"/>
      <x:c r="L20" s="24"/>
      <x:c r="M20" s="24"/>
      <x:c r="N20" s="22"/>
      <x:c r="O20" s="24"/>
      <x:c r="P20" s="22"/>
      <x:c r="Q20" s="28" t="str">
        <x:f>IF(C20="","",IF(N20&lt;&gt;"","CHIUSO",IF(H20&lt;&gt;"","APERTO","SEGNALE")))</x:f>
      </x:c>
      <x:c r="R20" s="30" t="str">
        <x:f>IF(OR(I20="",O20="",J20=""),"",((O20-I20)*J20))</x:f>
      </x:c>
      <x:c r="S20" s="32" t="str">
        <x:f>IF(OR(I20="",O20=""),"",(O20/I20)-1)</x:f>
      </x:c>
      <x:c r="T20" s="34" t="str">
        <x:f>IF(OR(I20="",O20="",K20="",I20=K20),"",(O20-I20)/(I20-K20))</x:f>
      </x:c>
      <x:c r="U20" s="26"/>
      <x:c r="V20" s="26"/>
      <x:c r="W20" s="24"/>
      <x:c r="X20" s="22"/>
    </x:row>
    <x:row r="21" ht="20" customHeight="1">
      <x:c r="A21" s="28" t="str">
        <x:f>IF(C21="","",ROW()-1)</x:f>
      </x:c>
      <x:c r="B21" s="22"/>
      <x:c r="C21" s="22"/>
      <x:c r="D21" s="22"/>
      <x:c r="E21" s="22"/>
      <x:c r="F21" s="22"/>
      <x:c r="G21" s="24"/>
      <x:c r="H21" s="22"/>
      <x:c r="I21" s="24"/>
      <x:c r="J21" s="26"/>
      <x:c r="K21" s="24"/>
      <x:c r="L21" s="24"/>
      <x:c r="M21" s="24"/>
      <x:c r="N21" s="22"/>
      <x:c r="O21" s="24"/>
      <x:c r="P21" s="22"/>
      <x:c r="Q21" s="28" t="str">
        <x:f>IF(C21="","",IF(N21&lt;&gt;"","CHIUSO",IF(H21&lt;&gt;"","APERTO","SEGNALE")))</x:f>
      </x:c>
      <x:c r="R21" s="30" t="str">
        <x:f>IF(OR(I21="",O21="",J21=""),"",((O21-I21)*J21))</x:f>
      </x:c>
      <x:c r="S21" s="32" t="str">
        <x:f>IF(OR(I21="",O21=""),"",(O21/I21)-1)</x:f>
      </x:c>
      <x:c r="T21" s="34" t="str">
        <x:f>IF(OR(I21="",O21="",K21="",I21=K21),"",(O21-I21)/(I21-K21))</x:f>
      </x:c>
      <x:c r="U21" s="26"/>
      <x:c r="V21" s="26"/>
      <x:c r="W21" s="24"/>
      <x:c r="X21" s="22"/>
    </x:row>
    <x:row r="22" ht="20" customHeight="1">
      <x:c r="A22" s="28" t="str">
        <x:f>IF(C22="","",ROW()-1)</x:f>
      </x:c>
      <x:c r="B22" s="22"/>
      <x:c r="C22" s="22"/>
      <x:c r="D22" s="22"/>
      <x:c r="E22" s="22"/>
      <x:c r="F22" s="22"/>
      <x:c r="G22" s="24"/>
      <x:c r="H22" s="22"/>
      <x:c r="I22" s="24"/>
      <x:c r="J22" s="26"/>
      <x:c r="K22" s="24"/>
      <x:c r="L22" s="24"/>
      <x:c r="M22" s="24"/>
      <x:c r="N22" s="22"/>
      <x:c r="O22" s="24"/>
      <x:c r="P22" s="22"/>
      <x:c r="Q22" s="28" t="str">
        <x:f>IF(C22="","",IF(N22&lt;&gt;"","CHIUSO",IF(H22&lt;&gt;"","APERTO","SEGNALE")))</x:f>
      </x:c>
      <x:c r="R22" s="30" t="str">
        <x:f>IF(OR(I22="",O22="",J22=""),"",((O22-I22)*J22))</x:f>
      </x:c>
      <x:c r="S22" s="32" t="str">
        <x:f>IF(OR(I22="",O22=""),"",(O22/I22)-1)</x:f>
      </x:c>
      <x:c r="T22" s="34" t="str">
        <x:f>IF(OR(I22="",O22="",K22="",I22=K22),"",(O22-I22)/(I22-K22))</x:f>
      </x:c>
      <x:c r="U22" s="26"/>
      <x:c r="V22" s="26"/>
      <x:c r="W22" s="24"/>
      <x:c r="X22" s="22"/>
    </x:row>
    <x:row r="23" ht="20" customHeight="1">
      <x:c r="A23" s="28" t="str">
        <x:f>IF(C23="","",ROW()-1)</x:f>
      </x:c>
      <x:c r="B23" s="22"/>
      <x:c r="C23" s="22"/>
      <x:c r="D23" s="22"/>
      <x:c r="E23" s="22"/>
      <x:c r="F23" s="22"/>
      <x:c r="G23" s="24"/>
      <x:c r="H23" s="22"/>
      <x:c r="I23" s="24"/>
      <x:c r="J23" s="26"/>
      <x:c r="K23" s="24"/>
      <x:c r="L23" s="24"/>
      <x:c r="M23" s="24"/>
      <x:c r="N23" s="22"/>
      <x:c r="O23" s="24"/>
      <x:c r="P23" s="22"/>
      <x:c r="Q23" s="28" t="str">
        <x:f>IF(C23="","",IF(N23&lt;&gt;"","CHIUSO",IF(H23&lt;&gt;"","APERTO","SEGNALE")))</x:f>
      </x:c>
      <x:c r="R23" s="30" t="str">
        <x:f>IF(OR(I23="",O23="",J23=""),"",((O23-I23)*J23))</x:f>
      </x:c>
      <x:c r="S23" s="32" t="str">
        <x:f>IF(OR(I23="",O23=""),"",(O23/I23)-1)</x:f>
      </x:c>
      <x:c r="T23" s="34" t="str">
        <x:f>IF(OR(I23="",O23="",K23="",I23=K23),"",(O23-I23)/(I23-K23))</x:f>
      </x:c>
      <x:c r="U23" s="26"/>
      <x:c r="V23" s="26"/>
      <x:c r="W23" s="24"/>
      <x:c r="X23" s="22"/>
    </x:row>
    <x:row r="24" ht="20" customHeight="1">
      <x:c r="A24" s="28" t="str">
        <x:f>IF(C24="","",ROW()-1)</x:f>
      </x:c>
      <x:c r="B24" s="22"/>
      <x:c r="C24" s="22"/>
      <x:c r="D24" s="22"/>
      <x:c r="E24" s="22"/>
      <x:c r="F24" s="22"/>
      <x:c r="G24" s="24"/>
      <x:c r="H24" s="22"/>
      <x:c r="I24" s="24"/>
      <x:c r="J24" s="26"/>
      <x:c r="K24" s="24"/>
      <x:c r="L24" s="24"/>
      <x:c r="M24" s="24"/>
      <x:c r="N24" s="22"/>
      <x:c r="O24" s="24"/>
      <x:c r="P24" s="22"/>
      <x:c r="Q24" s="28" t="str">
        <x:f>IF(C24="","",IF(N24&lt;&gt;"","CHIUSO",IF(H24&lt;&gt;"","APERTO","SEGNALE")))</x:f>
      </x:c>
      <x:c r="R24" s="30" t="str">
        <x:f>IF(OR(I24="",O24="",J24=""),"",((O24-I24)*J24))</x:f>
      </x:c>
      <x:c r="S24" s="32" t="str">
        <x:f>IF(OR(I24="",O24=""),"",(O24/I24)-1)</x:f>
      </x:c>
      <x:c r="T24" s="34" t="str">
        <x:f>IF(OR(I24="",O24="",K24="",I24=K24),"",(O24-I24)/(I24-K24))</x:f>
      </x:c>
      <x:c r="U24" s="26"/>
      <x:c r="V24" s="26"/>
      <x:c r="W24" s="24"/>
      <x:c r="X24" s="22"/>
    </x:row>
    <x:row r="25" ht="20" customHeight="1">
      <x:c r="A25" s="28" t="str">
        <x:f>IF(C25="","",ROW()-1)</x:f>
      </x:c>
      <x:c r="B25" s="22"/>
      <x:c r="C25" s="22"/>
      <x:c r="D25" s="22"/>
      <x:c r="E25" s="22"/>
      <x:c r="F25" s="22"/>
      <x:c r="G25" s="24"/>
      <x:c r="H25" s="22"/>
      <x:c r="I25" s="24"/>
      <x:c r="J25" s="26"/>
      <x:c r="K25" s="24"/>
      <x:c r="L25" s="24"/>
      <x:c r="M25" s="24"/>
      <x:c r="N25" s="22"/>
      <x:c r="O25" s="24"/>
      <x:c r="P25" s="22"/>
      <x:c r="Q25" s="28" t="str">
        <x:f>IF(C25="","",IF(N25&lt;&gt;"","CHIUSO",IF(H25&lt;&gt;"","APERTO","SEGNALE")))</x:f>
      </x:c>
      <x:c r="R25" s="30" t="str">
        <x:f>IF(OR(I25="",O25="",J25=""),"",((O25-I25)*J25))</x:f>
      </x:c>
      <x:c r="S25" s="32" t="str">
        <x:f>IF(OR(I25="",O25=""),"",(O25/I25)-1)</x:f>
      </x:c>
      <x:c r="T25" s="34" t="str">
        <x:f>IF(OR(I25="",O25="",K25="",I25=K25),"",(O25-I25)/(I25-K25))</x:f>
      </x:c>
      <x:c r="U25" s="26"/>
      <x:c r="V25" s="26"/>
      <x:c r="W25" s="24"/>
      <x:c r="X25" s="22"/>
    </x:row>
    <x:row r="26" ht="20" customHeight="1">
      <x:c r="A26" s="28" t="str">
        <x:f>IF(C26="","",ROW()-1)</x:f>
      </x:c>
      <x:c r="B26" s="22"/>
      <x:c r="C26" s="22"/>
      <x:c r="D26" s="22"/>
      <x:c r="E26" s="22"/>
      <x:c r="F26" s="22"/>
      <x:c r="G26" s="24"/>
      <x:c r="H26" s="22"/>
      <x:c r="I26" s="24"/>
      <x:c r="J26" s="26"/>
      <x:c r="K26" s="24"/>
      <x:c r="L26" s="24"/>
      <x:c r="M26" s="24"/>
      <x:c r="N26" s="22"/>
      <x:c r="O26" s="24"/>
      <x:c r="P26" s="22"/>
      <x:c r="Q26" s="28" t="str">
        <x:f>IF(C26="","",IF(N26&lt;&gt;"","CHIUSO",IF(H26&lt;&gt;"","APERTO","SEGNALE")))</x:f>
      </x:c>
      <x:c r="R26" s="30" t="str">
        <x:f>IF(OR(I26="",O26="",J26=""),"",((O26-I26)*J26))</x:f>
      </x:c>
      <x:c r="S26" s="32" t="str">
        <x:f>IF(OR(I26="",O26=""),"",(O26/I26)-1)</x:f>
      </x:c>
      <x:c r="T26" s="34" t="str">
        <x:f>IF(OR(I26="",O26="",K26="",I26=K26),"",(O26-I26)/(I26-K26))</x:f>
      </x:c>
      <x:c r="U26" s="26"/>
      <x:c r="V26" s="26"/>
      <x:c r="W26" s="24"/>
      <x:c r="X26" s="22"/>
    </x:row>
    <x:row r="27" ht="20" customHeight="1">
      <x:c r="A27" s="28" t="str">
        <x:f>IF(C27="","",ROW()-1)</x:f>
      </x:c>
      <x:c r="B27" s="22"/>
      <x:c r="C27" s="22"/>
      <x:c r="D27" s="22"/>
      <x:c r="E27" s="22"/>
      <x:c r="F27" s="22"/>
      <x:c r="G27" s="24"/>
      <x:c r="H27" s="22"/>
      <x:c r="I27" s="24"/>
      <x:c r="J27" s="26"/>
      <x:c r="K27" s="24"/>
      <x:c r="L27" s="24"/>
      <x:c r="M27" s="24"/>
      <x:c r="N27" s="22"/>
      <x:c r="O27" s="24"/>
      <x:c r="P27" s="22"/>
      <x:c r="Q27" s="28" t="str">
        <x:f>IF(C27="","",IF(N27&lt;&gt;"","CHIUSO",IF(H27&lt;&gt;"","APERTO","SEGNALE")))</x:f>
      </x:c>
      <x:c r="R27" s="30" t="str">
        <x:f>IF(OR(I27="",O27="",J27=""),"",((O27-I27)*J27))</x:f>
      </x:c>
      <x:c r="S27" s="32" t="str">
        <x:f>IF(OR(I27="",O27=""),"",(O27/I27)-1)</x:f>
      </x:c>
      <x:c r="T27" s="34" t="str">
        <x:f>IF(OR(I27="",O27="",K27="",I27=K27),"",(O27-I27)/(I27-K27))</x:f>
      </x:c>
      <x:c r="U27" s="26"/>
      <x:c r="V27" s="26"/>
      <x:c r="W27" s="24"/>
      <x:c r="X27" s="22"/>
    </x:row>
    <x:row r="28" ht="20" customHeight="1">
      <x:c r="A28" s="28" t="str">
        <x:f>IF(C28="","",ROW()-1)</x:f>
      </x:c>
      <x:c r="B28" s="22"/>
      <x:c r="C28" s="22"/>
      <x:c r="D28" s="22"/>
      <x:c r="E28" s="22"/>
      <x:c r="F28" s="22"/>
      <x:c r="G28" s="24"/>
      <x:c r="H28" s="22"/>
      <x:c r="I28" s="24"/>
      <x:c r="J28" s="26"/>
      <x:c r="K28" s="24"/>
      <x:c r="L28" s="24"/>
      <x:c r="M28" s="24"/>
      <x:c r="N28" s="22"/>
      <x:c r="O28" s="24"/>
      <x:c r="P28" s="22"/>
      <x:c r="Q28" s="28" t="str">
        <x:f>IF(C28="","",IF(N28&lt;&gt;"","CHIUSO",IF(H28&lt;&gt;"","APERTO","SEGNALE")))</x:f>
      </x:c>
      <x:c r="R28" s="30" t="str">
        <x:f>IF(OR(I28="",O28="",J28=""),"",((O28-I28)*J28))</x:f>
      </x:c>
      <x:c r="S28" s="32" t="str">
        <x:f>IF(OR(I28="",O28=""),"",(O28/I28)-1)</x:f>
      </x:c>
      <x:c r="T28" s="34" t="str">
        <x:f>IF(OR(I28="",O28="",K28="",I28=K28),"",(O28-I28)/(I28-K28))</x:f>
      </x:c>
      <x:c r="U28" s="26"/>
      <x:c r="V28" s="26"/>
      <x:c r="W28" s="24"/>
      <x:c r="X28" s="22"/>
    </x:row>
    <x:row r="29" ht="20" customHeight="1">
      <x:c r="A29" s="28" t="str">
        <x:f>IF(C29="","",ROW()-1)</x:f>
      </x:c>
      <x:c r="B29" s="22"/>
      <x:c r="C29" s="22"/>
      <x:c r="D29" s="22"/>
      <x:c r="E29" s="22"/>
      <x:c r="F29" s="22"/>
      <x:c r="G29" s="24"/>
      <x:c r="H29" s="22"/>
      <x:c r="I29" s="24"/>
      <x:c r="J29" s="26"/>
      <x:c r="K29" s="24"/>
      <x:c r="L29" s="24"/>
      <x:c r="M29" s="24"/>
      <x:c r="N29" s="22"/>
      <x:c r="O29" s="24"/>
      <x:c r="P29" s="22"/>
      <x:c r="Q29" s="28" t="str">
        <x:f>IF(C29="","",IF(N29&lt;&gt;"","CHIUSO",IF(H29&lt;&gt;"","APERTO","SEGNALE")))</x:f>
      </x:c>
      <x:c r="R29" s="30" t="str">
        <x:f>IF(OR(I29="",O29="",J29=""),"",((O29-I29)*J29))</x:f>
      </x:c>
      <x:c r="S29" s="32" t="str">
        <x:f>IF(OR(I29="",O29=""),"",(O29/I29)-1)</x:f>
      </x:c>
      <x:c r="T29" s="34" t="str">
        <x:f>IF(OR(I29="",O29="",K29="",I29=K29),"",(O29-I29)/(I29-K29))</x:f>
      </x:c>
      <x:c r="U29" s="26"/>
      <x:c r="V29" s="26"/>
      <x:c r="W29" s="24"/>
      <x:c r="X29" s="22"/>
    </x:row>
    <x:row r="30" ht="20" customHeight="1">
      <x:c r="A30" s="28" t="str">
        <x:f>IF(C30="","",ROW()-1)</x:f>
      </x:c>
      <x:c r="B30" s="22"/>
      <x:c r="C30" s="22"/>
      <x:c r="D30" s="22"/>
      <x:c r="E30" s="22"/>
      <x:c r="F30" s="22"/>
      <x:c r="G30" s="24"/>
      <x:c r="H30" s="22"/>
      <x:c r="I30" s="24"/>
      <x:c r="J30" s="26"/>
      <x:c r="K30" s="24"/>
      <x:c r="L30" s="24"/>
      <x:c r="M30" s="24"/>
      <x:c r="N30" s="22"/>
      <x:c r="O30" s="24"/>
      <x:c r="P30" s="22"/>
      <x:c r="Q30" s="28" t="str">
        <x:f>IF(C30="","",IF(N30&lt;&gt;"","CHIUSO",IF(H30&lt;&gt;"","APERTO","SEGNALE")))</x:f>
      </x:c>
      <x:c r="R30" s="30" t="str">
        <x:f>IF(OR(I30="",O30="",J30=""),"",((O30-I30)*J30))</x:f>
      </x:c>
      <x:c r="S30" s="32" t="str">
        <x:f>IF(OR(I30="",O30=""),"",(O30/I30)-1)</x:f>
      </x:c>
      <x:c r="T30" s="34" t="str">
        <x:f>IF(OR(I30="",O30="",K30="",I30=K30),"",(O30-I30)/(I30-K30))</x:f>
      </x:c>
      <x:c r="U30" s="26"/>
      <x:c r="V30" s="26"/>
      <x:c r="W30" s="24"/>
      <x:c r="X30" s="22"/>
    </x:row>
    <x:row r="31" ht="20" customHeight="1">
      <x:c r="A31" s="28" t="str">
        <x:f>IF(C31="","",ROW()-1)</x:f>
      </x:c>
      <x:c r="B31" s="22"/>
      <x:c r="C31" s="22"/>
      <x:c r="D31" s="22"/>
      <x:c r="E31" s="22"/>
      <x:c r="F31" s="22"/>
      <x:c r="G31" s="24"/>
      <x:c r="H31" s="22"/>
      <x:c r="I31" s="24"/>
      <x:c r="J31" s="26"/>
      <x:c r="K31" s="24"/>
      <x:c r="L31" s="24"/>
      <x:c r="M31" s="24"/>
      <x:c r="N31" s="22"/>
      <x:c r="O31" s="24"/>
      <x:c r="P31" s="22"/>
      <x:c r="Q31" s="28" t="str">
        <x:f>IF(C31="","",IF(N31&lt;&gt;"","CHIUSO",IF(H31&lt;&gt;"","APERTO","SEGNALE")))</x:f>
      </x:c>
      <x:c r="R31" s="30" t="str">
        <x:f>IF(OR(I31="",O31="",J31=""),"",((O31-I31)*J31))</x:f>
      </x:c>
      <x:c r="S31" s="32" t="str">
        <x:f>IF(OR(I31="",O31=""),"",(O31/I31)-1)</x:f>
      </x:c>
      <x:c r="T31" s="34" t="str">
        <x:f>IF(OR(I31="",O31="",K31="",I31=K31),"",(O31-I31)/(I31-K31))</x:f>
      </x:c>
      <x:c r="U31" s="26"/>
      <x:c r="V31" s="26"/>
      <x:c r="W31" s="24"/>
      <x:c r="X31" s="22"/>
    </x:row>
    <x:row r="32" ht="20" customHeight="1">
      <x:c r="A32" s="28" t="str">
        <x:f>IF(C32="","",ROW()-1)</x:f>
      </x:c>
      <x:c r="B32" s="22"/>
      <x:c r="C32" s="22"/>
      <x:c r="D32" s="22"/>
      <x:c r="E32" s="22"/>
      <x:c r="F32" s="22"/>
      <x:c r="G32" s="24"/>
      <x:c r="H32" s="22"/>
      <x:c r="I32" s="24"/>
      <x:c r="J32" s="26"/>
      <x:c r="K32" s="24"/>
      <x:c r="L32" s="24"/>
      <x:c r="M32" s="24"/>
      <x:c r="N32" s="22"/>
      <x:c r="O32" s="24"/>
      <x:c r="P32" s="22"/>
      <x:c r="Q32" s="28" t="str">
        <x:f>IF(C32="","",IF(N32&lt;&gt;"","CHIUSO",IF(H32&lt;&gt;"","APERTO","SEGNALE")))</x:f>
      </x:c>
      <x:c r="R32" s="30" t="str">
        <x:f>IF(OR(I32="",O32="",J32=""),"",((O32-I32)*J32))</x:f>
      </x:c>
      <x:c r="S32" s="32" t="str">
        <x:f>IF(OR(I32="",O32=""),"",(O32/I32)-1)</x:f>
      </x:c>
      <x:c r="T32" s="34" t="str">
        <x:f>IF(OR(I32="",O32="",K32="",I32=K32),"",(O32-I32)/(I32-K32))</x:f>
      </x:c>
      <x:c r="U32" s="26"/>
      <x:c r="V32" s="26"/>
      <x:c r="W32" s="24"/>
      <x:c r="X32" s="22"/>
    </x:row>
    <x:row r="33" ht="20" customHeight="1">
      <x:c r="A33" s="28" t="str">
        <x:f>IF(C33="","",ROW()-1)</x:f>
      </x:c>
      <x:c r="B33" s="22"/>
      <x:c r="C33" s="22"/>
      <x:c r="D33" s="22"/>
      <x:c r="E33" s="22"/>
      <x:c r="F33" s="22"/>
      <x:c r="G33" s="24"/>
      <x:c r="H33" s="22"/>
      <x:c r="I33" s="24"/>
      <x:c r="J33" s="26"/>
      <x:c r="K33" s="24"/>
      <x:c r="L33" s="24"/>
      <x:c r="M33" s="24"/>
      <x:c r="N33" s="22"/>
      <x:c r="O33" s="24"/>
      <x:c r="P33" s="22"/>
      <x:c r="Q33" s="28" t="str">
        <x:f>IF(C33="","",IF(N33&lt;&gt;"","CHIUSO",IF(H33&lt;&gt;"","APERTO","SEGNALE")))</x:f>
      </x:c>
      <x:c r="R33" s="30" t="str">
        <x:f>IF(OR(I33="",O33="",J33=""),"",((O33-I33)*J33))</x:f>
      </x:c>
      <x:c r="S33" s="32" t="str">
        <x:f>IF(OR(I33="",O33=""),"",(O33/I33)-1)</x:f>
      </x:c>
      <x:c r="T33" s="34" t="str">
        <x:f>IF(OR(I33="",O33="",K33="",I33=K33),"",(O33-I33)/(I33-K33))</x:f>
      </x:c>
      <x:c r="U33" s="26"/>
      <x:c r="V33" s="26"/>
      <x:c r="W33" s="24"/>
      <x:c r="X33" s="22"/>
    </x:row>
    <x:row r="34" ht="20" customHeight="1">
      <x:c r="A34" s="28" t="str">
        <x:f>IF(C34="","",ROW()-1)</x:f>
      </x:c>
      <x:c r="B34" s="22"/>
      <x:c r="C34" s="22"/>
      <x:c r="D34" s="22"/>
      <x:c r="E34" s="22"/>
      <x:c r="F34" s="22"/>
      <x:c r="G34" s="24"/>
      <x:c r="H34" s="22"/>
      <x:c r="I34" s="24"/>
      <x:c r="J34" s="26"/>
      <x:c r="K34" s="24"/>
      <x:c r="L34" s="24"/>
      <x:c r="M34" s="24"/>
      <x:c r="N34" s="22"/>
      <x:c r="O34" s="24"/>
      <x:c r="P34" s="22"/>
      <x:c r="Q34" s="28" t="str">
        <x:f>IF(C34="","",IF(N34&lt;&gt;"","CHIUSO",IF(H34&lt;&gt;"","APERTO","SEGNALE")))</x:f>
      </x:c>
      <x:c r="R34" s="30" t="str">
        <x:f>IF(OR(I34="",O34="",J34=""),"",((O34-I34)*J34))</x:f>
      </x:c>
      <x:c r="S34" s="32" t="str">
        <x:f>IF(OR(I34="",O34=""),"",(O34/I34)-1)</x:f>
      </x:c>
      <x:c r="T34" s="34" t="str">
        <x:f>IF(OR(I34="",O34="",K34="",I34=K34),"",(O34-I34)/(I34-K34))</x:f>
      </x:c>
      <x:c r="U34" s="26"/>
      <x:c r="V34" s="26"/>
      <x:c r="W34" s="24"/>
      <x:c r="X34" s="22"/>
    </x:row>
    <x:row r="35" ht="20" customHeight="1">
      <x:c r="A35" s="28" t="str">
        <x:f>IF(C35="","",ROW()-1)</x:f>
      </x:c>
      <x:c r="B35" s="22"/>
      <x:c r="C35" s="22"/>
      <x:c r="D35" s="22"/>
      <x:c r="E35" s="22"/>
      <x:c r="F35" s="22"/>
      <x:c r="G35" s="24"/>
      <x:c r="H35" s="22"/>
      <x:c r="I35" s="24"/>
      <x:c r="J35" s="26"/>
      <x:c r="K35" s="24"/>
      <x:c r="L35" s="24"/>
      <x:c r="M35" s="24"/>
      <x:c r="N35" s="22"/>
      <x:c r="O35" s="24"/>
      <x:c r="P35" s="22"/>
      <x:c r="Q35" s="28" t="str">
        <x:f>IF(C35="","",IF(N35&lt;&gt;"","CHIUSO",IF(H35&lt;&gt;"","APERTO","SEGNALE")))</x:f>
      </x:c>
      <x:c r="R35" s="30" t="str">
        <x:f>IF(OR(I35="",O35="",J35=""),"",((O35-I35)*J35))</x:f>
      </x:c>
      <x:c r="S35" s="32" t="str">
        <x:f>IF(OR(I35="",O35=""),"",(O35/I35)-1)</x:f>
      </x:c>
      <x:c r="T35" s="34" t="str">
        <x:f>IF(OR(I35="",O35="",K35="",I35=K35),"",(O35-I35)/(I35-K35))</x:f>
      </x:c>
      <x:c r="U35" s="26"/>
      <x:c r="V35" s="26"/>
      <x:c r="W35" s="24"/>
      <x:c r="X35" s="22"/>
    </x:row>
    <x:row r="36" ht="20" customHeight="1">
      <x:c r="A36" s="28" t="str">
        <x:f>IF(C36="","",ROW()-1)</x:f>
      </x:c>
      <x:c r="B36" s="22"/>
      <x:c r="C36" s="22"/>
      <x:c r="D36" s="22"/>
      <x:c r="E36" s="22"/>
      <x:c r="F36" s="22"/>
      <x:c r="G36" s="24"/>
      <x:c r="H36" s="22"/>
      <x:c r="I36" s="24"/>
      <x:c r="J36" s="26"/>
      <x:c r="K36" s="24"/>
      <x:c r="L36" s="24"/>
      <x:c r="M36" s="24"/>
      <x:c r="N36" s="22"/>
      <x:c r="O36" s="24"/>
      <x:c r="P36" s="22"/>
      <x:c r="Q36" s="28" t="str">
        <x:f>IF(C36="","",IF(N36&lt;&gt;"","CHIUSO",IF(H36&lt;&gt;"","APERTO","SEGNALE")))</x:f>
      </x:c>
      <x:c r="R36" s="30" t="str">
        <x:f>IF(OR(I36="",O36="",J36=""),"",((O36-I36)*J36))</x:f>
      </x:c>
      <x:c r="S36" s="32" t="str">
        <x:f>IF(OR(I36="",O36=""),"",(O36/I36)-1)</x:f>
      </x:c>
      <x:c r="T36" s="34" t="str">
        <x:f>IF(OR(I36="",O36="",K36="",I36=K36),"",(O36-I36)/(I36-K36))</x:f>
      </x:c>
      <x:c r="U36" s="26"/>
      <x:c r="V36" s="26"/>
      <x:c r="W36" s="24"/>
      <x:c r="X36" s="22"/>
    </x:row>
    <x:row r="37" ht="20" customHeight="1">
      <x:c r="A37" s="28" t="str">
        <x:f>IF(C37="","",ROW()-1)</x:f>
      </x:c>
      <x:c r="B37" s="22"/>
      <x:c r="C37" s="22"/>
      <x:c r="D37" s="22"/>
      <x:c r="E37" s="22"/>
      <x:c r="F37" s="22"/>
      <x:c r="G37" s="24"/>
      <x:c r="H37" s="22"/>
      <x:c r="I37" s="24"/>
      <x:c r="J37" s="26"/>
      <x:c r="K37" s="24"/>
      <x:c r="L37" s="24"/>
      <x:c r="M37" s="24"/>
      <x:c r="N37" s="22"/>
      <x:c r="O37" s="24"/>
      <x:c r="P37" s="22"/>
      <x:c r="Q37" s="28" t="str">
        <x:f>IF(C37="","",IF(N37&lt;&gt;"","CHIUSO",IF(H37&lt;&gt;"","APERTO","SEGNALE")))</x:f>
      </x:c>
      <x:c r="R37" s="30" t="str">
        <x:f>IF(OR(I37="",O37="",J37=""),"",((O37-I37)*J37))</x:f>
      </x:c>
      <x:c r="S37" s="32" t="str">
        <x:f>IF(OR(I37="",O37=""),"",(O37/I37)-1)</x:f>
      </x:c>
      <x:c r="T37" s="34" t="str">
        <x:f>IF(OR(I37="",O37="",K37="",I37=K37),"",(O37-I37)/(I37-K37))</x:f>
      </x:c>
      <x:c r="U37" s="26"/>
      <x:c r="V37" s="26"/>
      <x:c r="W37" s="24"/>
      <x:c r="X37" s="22"/>
    </x:row>
    <x:row r="38" ht="20" customHeight="1">
      <x:c r="A38" s="28" t="str">
        <x:f>IF(C38="","",ROW()-1)</x:f>
      </x:c>
      <x:c r="B38" s="22"/>
      <x:c r="C38" s="22"/>
      <x:c r="D38" s="22"/>
      <x:c r="E38" s="22"/>
      <x:c r="F38" s="22"/>
      <x:c r="G38" s="24"/>
      <x:c r="H38" s="22"/>
      <x:c r="I38" s="24"/>
      <x:c r="J38" s="26"/>
      <x:c r="K38" s="24"/>
      <x:c r="L38" s="24"/>
      <x:c r="M38" s="24"/>
      <x:c r="N38" s="22"/>
      <x:c r="O38" s="24"/>
      <x:c r="P38" s="22"/>
      <x:c r="Q38" s="28" t="str">
        <x:f>IF(C38="","",IF(N38&lt;&gt;"","CHIUSO",IF(H38&lt;&gt;"","APERTO","SEGNALE")))</x:f>
      </x:c>
      <x:c r="R38" s="30" t="str">
        <x:f>IF(OR(I38="",O38="",J38=""),"",((O38-I38)*J38))</x:f>
      </x:c>
      <x:c r="S38" s="32" t="str">
        <x:f>IF(OR(I38="",O38=""),"",(O38/I38)-1)</x:f>
      </x:c>
      <x:c r="T38" s="34" t="str">
        <x:f>IF(OR(I38="",O38="",K38="",I38=K38),"",(O38-I38)/(I38-K38))</x:f>
      </x:c>
      <x:c r="U38" s="26"/>
      <x:c r="V38" s="26"/>
      <x:c r="W38" s="24"/>
      <x:c r="X38" s="22"/>
    </x:row>
    <x:row r="39" ht="20" customHeight="1">
      <x:c r="A39" s="28" t="str">
        <x:f>IF(C39="","",ROW()-1)</x:f>
      </x:c>
      <x:c r="B39" s="22"/>
      <x:c r="C39" s="22"/>
      <x:c r="D39" s="22"/>
      <x:c r="E39" s="22"/>
      <x:c r="F39" s="22"/>
      <x:c r="G39" s="24"/>
      <x:c r="H39" s="22"/>
      <x:c r="I39" s="24"/>
      <x:c r="J39" s="26"/>
      <x:c r="K39" s="24"/>
      <x:c r="L39" s="24"/>
      <x:c r="M39" s="24"/>
      <x:c r="N39" s="22"/>
      <x:c r="O39" s="24"/>
      <x:c r="P39" s="22"/>
      <x:c r="Q39" s="28" t="str">
        <x:f>IF(C39="","",IF(N39&lt;&gt;"","CHIUSO",IF(H39&lt;&gt;"","APERTO","SEGNALE")))</x:f>
      </x:c>
      <x:c r="R39" s="30" t="str">
        <x:f>IF(OR(I39="",O39="",J39=""),"",((O39-I39)*J39))</x:f>
      </x:c>
      <x:c r="S39" s="32" t="str">
        <x:f>IF(OR(I39="",O39=""),"",(O39/I39)-1)</x:f>
      </x:c>
      <x:c r="T39" s="34" t="str">
        <x:f>IF(OR(I39="",O39="",K39="",I39=K39),"",(O39-I39)/(I39-K39))</x:f>
      </x:c>
      <x:c r="U39" s="26"/>
      <x:c r="V39" s="26"/>
      <x:c r="W39" s="24"/>
      <x:c r="X39" s="22"/>
    </x:row>
    <x:row r="40" ht="20" customHeight="1">
      <x:c r="A40" s="28" t="str">
        <x:f>IF(C40="","",ROW()-1)</x:f>
      </x:c>
      <x:c r="B40" s="22"/>
      <x:c r="C40" s="22"/>
      <x:c r="D40" s="22"/>
      <x:c r="E40" s="22"/>
      <x:c r="F40" s="22"/>
      <x:c r="G40" s="24"/>
      <x:c r="H40" s="22"/>
      <x:c r="I40" s="24"/>
      <x:c r="J40" s="26"/>
      <x:c r="K40" s="24"/>
      <x:c r="L40" s="24"/>
      <x:c r="M40" s="24"/>
      <x:c r="N40" s="22"/>
      <x:c r="O40" s="24"/>
      <x:c r="P40" s="22"/>
      <x:c r="Q40" s="28" t="str">
        <x:f>IF(C40="","",IF(N40&lt;&gt;"","CHIUSO",IF(H40&lt;&gt;"","APERTO","SEGNALE")))</x:f>
      </x:c>
      <x:c r="R40" s="30" t="str">
        <x:f>IF(OR(I40="",O40="",J40=""),"",((O40-I40)*J40))</x:f>
      </x:c>
      <x:c r="S40" s="32" t="str">
        <x:f>IF(OR(I40="",O40=""),"",(O40/I40)-1)</x:f>
      </x:c>
      <x:c r="T40" s="34" t="str">
        <x:f>IF(OR(I40="",O40="",K40="",I40=K40),"",(O40-I40)/(I40-K40))</x:f>
      </x:c>
      <x:c r="U40" s="26"/>
      <x:c r="V40" s="26"/>
      <x:c r="W40" s="24"/>
      <x:c r="X40" s="22"/>
    </x:row>
    <x:row r="41" ht="20" customHeight="1">
      <x:c r="A41" s="28" t="str">
        <x:f>IF(C41="","",ROW()-1)</x:f>
      </x:c>
      <x:c r="B41" s="22"/>
      <x:c r="C41" s="22"/>
      <x:c r="D41" s="22"/>
      <x:c r="E41" s="22"/>
      <x:c r="F41" s="22"/>
      <x:c r="G41" s="24"/>
      <x:c r="H41" s="22"/>
      <x:c r="I41" s="24"/>
      <x:c r="J41" s="26"/>
      <x:c r="K41" s="24"/>
      <x:c r="L41" s="24"/>
      <x:c r="M41" s="24"/>
      <x:c r="N41" s="22"/>
      <x:c r="O41" s="24"/>
      <x:c r="P41" s="22"/>
      <x:c r="Q41" s="28" t="str">
        <x:f>IF(C41="","",IF(N41&lt;&gt;"","CHIUSO",IF(H41&lt;&gt;"","APERTO","SEGNALE")))</x:f>
      </x:c>
      <x:c r="R41" s="30" t="str">
        <x:f>IF(OR(I41="",O41="",J41=""),"",((O41-I41)*J41))</x:f>
      </x:c>
      <x:c r="S41" s="32" t="str">
        <x:f>IF(OR(I41="",O41=""),"",(O41/I41)-1)</x:f>
      </x:c>
      <x:c r="T41" s="34" t="str">
        <x:f>IF(OR(I41="",O41="",K41="",I41=K41),"",(O41-I41)/(I41-K41))</x:f>
      </x:c>
      <x:c r="U41" s="26"/>
      <x:c r="V41" s="26"/>
      <x:c r="W41" s="24"/>
      <x:c r="X41" s="22"/>
    </x:row>
    <x:row r="42" ht="20" customHeight="1">
      <x:c r="A42" s="28" t="str">
        <x:f>IF(C42="","",ROW()-1)</x:f>
      </x:c>
      <x:c r="B42" s="22"/>
      <x:c r="C42" s="22"/>
      <x:c r="D42" s="22"/>
      <x:c r="E42" s="22"/>
      <x:c r="F42" s="22"/>
      <x:c r="G42" s="24"/>
      <x:c r="H42" s="22"/>
      <x:c r="I42" s="24"/>
      <x:c r="J42" s="26"/>
      <x:c r="K42" s="24"/>
      <x:c r="L42" s="24"/>
      <x:c r="M42" s="24"/>
      <x:c r="N42" s="22"/>
      <x:c r="O42" s="24"/>
      <x:c r="P42" s="22"/>
      <x:c r="Q42" s="28" t="str">
        <x:f>IF(C42="","",IF(N42&lt;&gt;"","CHIUSO",IF(H42&lt;&gt;"","APERTO","SEGNALE")))</x:f>
      </x:c>
      <x:c r="R42" s="30" t="str">
        <x:f>IF(OR(I42="",O42="",J42=""),"",((O42-I42)*J42))</x:f>
      </x:c>
      <x:c r="S42" s="32" t="str">
        <x:f>IF(OR(I42="",O42=""),"",(O42/I42)-1)</x:f>
      </x:c>
      <x:c r="T42" s="34" t="str">
        <x:f>IF(OR(I42="",O42="",K42="",I42=K42),"",(O42-I42)/(I42-K42))</x:f>
      </x:c>
      <x:c r="U42" s="26"/>
      <x:c r="V42" s="26"/>
      <x:c r="W42" s="24"/>
      <x:c r="X42" s="22"/>
    </x:row>
    <x:row r="43" ht="20" customHeight="1">
      <x:c r="A43" s="28" t="str">
        <x:f>IF(C43="","",ROW()-1)</x:f>
      </x:c>
      <x:c r="B43" s="22"/>
      <x:c r="C43" s="22"/>
      <x:c r="D43" s="22"/>
      <x:c r="E43" s="22"/>
      <x:c r="F43" s="22"/>
      <x:c r="G43" s="24"/>
      <x:c r="H43" s="22"/>
      <x:c r="I43" s="24"/>
      <x:c r="J43" s="26"/>
      <x:c r="K43" s="24"/>
      <x:c r="L43" s="24"/>
      <x:c r="M43" s="24"/>
      <x:c r="N43" s="22"/>
      <x:c r="O43" s="24"/>
      <x:c r="P43" s="22"/>
      <x:c r="Q43" s="28" t="str">
        <x:f>IF(C43="","",IF(N43&lt;&gt;"","CHIUSO",IF(H43&lt;&gt;"","APERTO","SEGNALE")))</x:f>
      </x:c>
      <x:c r="R43" s="30" t="str">
        <x:f>IF(OR(I43="",O43="",J43=""),"",((O43-I43)*J43))</x:f>
      </x:c>
      <x:c r="S43" s="32" t="str">
        <x:f>IF(OR(I43="",O43=""),"",(O43/I43)-1)</x:f>
      </x:c>
      <x:c r="T43" s="34" t="str">
        <x:f>IF(OR(I43="",O43="",K43="",I43=K43),"",(O43-I43)/(I43-K43))</x:f>
      </x:c>
      <x:c r="U43" s="26"/>
      <x:c r="V43" s="26"/>
      <x:c r="W43" s="24"/>
      <x:c r="X43" s="22"/>
    </x:row>
    <x:row r="44" ht="20" customHeight="1">
      <x:c r="A44" s="28" t="str">
        <x:f>IF(C44="","",ROW()-1)</x:f>
      </x:c>
      <x:c r="B44" s="22"/>
      <x:c r="C44" s="22"/>
      <x:c r="D44" s="22"/>
      <x:c r="E44" s="22"/>
      <x:c r="F44" s="22"/>
      <x:c r="G44" s="24"/>
      <x:c r="H44" s="22"/>
      <x:c r="I44" s="24"/>
      <x:c r="J44" s="26"/>
      <x:c r="K44" s="24"/>
      <x:c r="L44" s="24"/>
      <x:c r="M44" s="24"/>
      <x:c r="N44" s="22"/>
      <x:c r="O44" s="24"/>
      <x:c r="P44" s="22"/>
      <x:c r="Q44" s="28" t="str">
        <x:f>IF(C44="","",IF(N44&lt;&gt;"","CHIUSO",IF(H44&lt;&gt;"","APERTO","SEGNALE")))</x:f>
      </x:c>
      <x:c r="R44" s="30" t="str">
        <x:f>IF(OR(I44="",O44="",J44=""),"",((O44-I44)*J44))</x:f>
      </x:c>
      <x:c r="S44" s="32" t="str">
        <x:f>IF(OR(I44="",O44=""),"",(O44/I44)-1)</x:f>
      </x:c>
      <x:c r="T44" s="34" t="str">
        <x:f>IF(OR(I44="",O44="",K44="",I44=K44),"",(O44-I44)/(I44-K44))</x:f>
      </x:c>
      <x:c r="U44" s="26"/>
      <x:c r="V44" s="26"/>
      <x:c r="W44" s="24"/>
      <x:c r="X44" s="22"/>
    </x:row>
    <x:row r="45" ht="20" customHeight="1">
      <x:c r="A45" s="28" t="str">
        <x:f>IF(C45="","",ROW()-1)</x:f>
      </x:c>
      <x:c r="B45" s="22"/>
      <x:c r="C45" s="22"/>
      <x:c r="D45" s="22"/>
      <x:c r="E45" s="22"/>
      <x:c r="F45" s="22"/>
      <x:c r="G45" s="24"/>
      <x:c r="H45" s="22"/>
      <x:c r="I45" s="24"/>
      <x:c r="J45" s="26"/>
      <x:c r="K45" s="24"/>
      <x:c r="L45" s="24"/>
      <x:c r="M45" s="24"/>
      <x:c r="N45" s="22"/>
      <x:c r="O45" s="24"/>
      <x:c r="P45" s="22"/>
      <x:c r="Q45" s="28" t="str">
        <x:f>IF(C45="","",IF(N45&lt;&gt;"","CHIUSO",IF(H45&lt;&gt;"","APERTO","SEGNALE")))</x:f>
      </x:c>
      <x:c r="R45" s="30" t="str">
        <x:f>IF(OR(I45="",O45="",J45=""),"",((O45-I45)*J45))</x:f>
      </x:c>
      <x:c r="S45" s="32" t="str">
        <x:f>IF(OR(I45="",O45=""),"",(O45/I45)-1)</x:f>
      </x:c>
      <x:c r="T45" s="34" t="str">
        <x:f>IF(OR(I45="",O45="",K45="",I45=K45),"",(O45-I45)/(I45-K45))</x:f>
      </x:c>
      <x:c r="U45" s="26"/>
      <x:c r="V45" s="26"/>
      <x:c r="W45" s="24"/>
      <x:c r="X45" s="22"/>
    </x:row>
    <x:row r="46" ht="20" customHeight="1">
      <x:c r="A46" s="28" t="str">
        <x:f>IF(C46="","",ROW()-1)</x:f>
      </x:c>
      <x:c r="B46" s="22"/>
      <x:c r="C46" s="22"/>
      <x:c r="D46" s="22"/>
      <x:c r="E46" s="22"/>
      <x:c r="F46" s="22"/>
      <x:c r="G46" s="24"/>
      <x:c r="H46" s="22"/>
      <x:c r="I46" s="24"/>
      <x:c r="J46" s="26"/>
      <x:c r="K46" s="24"/>
      <x:c r="L46" s="24"/>
      <x:c r="M46" s="24"/>
      <x:c r="N46" s="22"/>
      <x:c r="O46" s="24"/>
      <x:c r="P46" s="22"/>
      <x:c r="Q46" s="28" t="str">
        <x:f>IF(C46="","",IF(N46&lt;&gt;"","CHIUSO",IF(H46&lt;&gt;"","APERTO","SEGNALE")))</x:f>
      </x:c>
      <x:c r="R46" s="30" t="str">
        <x:f>IF(OR(I46="",O46="",J46=""),"",((O46-I46)*J46))</x:f>
      </x:c>
      <x:c r="S46" s="32" t="str">
        <x:f>IF(OR(I46="",O46=""),"",(O46/I46)-1)</x:f>
      </x:c>
      <x:c r="T46" s="34" t="str">
        <x:f>IF(OR(I46="",O46="",K46="",I46=K46),"",(O46-I46)/(I46-K46))</x:f>
      </x:c>
      <x:c r="U46" s="26"/>
      <x:c r="V46" s="26"/>
      <x:c r="W46" s="24"/>
      <x:c r="X46" s="22"/>
    </x:row>
    <x:row r="47" ht="20" customHeight="1">
      <x:c r="A47" s="28" t="str">
        <x:f>IF(C47="","",ROW()-1)</x:f>
      </x:c>
      <x:c r="B47" s="22"/>
      <x:c r="C47" s="22"/>
      <x:c r="D47" s="22"/>
      <x:c r="E47" s="22"/>
      <x:c r="F47" s="22"/>
      <x:c r="G47" s="24"/>
      <x:c r="H47" s="22"/>
      <x:c r="I47" s="24"/>
      <x:c r="J47" s="26"/>
      <x:c r="K47" s="24"/>
      <x:c r="L47" s="24"/>
      <x:c r="M47" s="24"/>
      <x:c r="N47" s="22"/>
      <x:c r="O47" s="24"/>
      <x:c r="P47" s="22"/>
      <x:c r="Q47" s="28" t="str">
        <x:f>IF(C47="","",IF(N47&lt;&gt;"","CHIUSO",IF(H47&lt;&gt;"","APERTO","SEGNALE")))</x:f>
      </x:c>
      <x:c r="R47" s="30" t="str">
        <x:f>IF(OR(I47="",O47="",J47=""),"",((O47-I47)*J47))</x:f>
      </x:c>
      <x:c r="S47" s="32" t="str">
        <x:f>IF(OR(I47="",O47=""),"",(O47/I47)-1)</x:f>
      </x:c>
      <x:c r="T47" s="34" t="str">
        <x:f>IF(OR(I47="",O47="",K47="",I47=K47),"",(O47-I47)/(I47-K47))</x:f>
      </x:c>
      <x:c r="U47" s="26"/>
      <x:c r="V47" s="26"/>
      <x:c r="W47" s="24"/>
      <x:c r="X47" s="22"/>
    </x:row>
    <x:row r="48" ht="20" customHeight="1">
      <x:c r="A48" s="28" t="str">
        <x:f>IF(C48="","",ROW()-1)</x:f>
      </x:c>
      <x:c r="B48" s="22"/>
      <x:c r="C48" s="22"/>
      <x:c r="D48" s="22"/>
      <x:c r="E48" s="22"/>
      <x:c r="F48" s="22"/>
      <x:c r="G48" s="24"/>
      <x:c r="H48" s="22"/>
      <x:c r="I48" s="24"/>
      <x:c r="J48" s="26"/>
      <x:c r="K48" s="24"/>
      <x:c r="L48" s="24"/>
      <x:c r="M48" s="24"/>
      <x:c r="N48" s="22"/>
      <x:c r="O48" s="24"/>
      <x:c r="P48" s="22"/>
      <x:c r="Q48" s="28" t="str">
        <x:f>IF(C48="","",IF(N48&lt;&gt;"","CHIUSO",IF(H48&lt;&gt;"","APERTO","SEGNALE")))</x:f>
      </x:c>
      <x:c r="R48" s="30" t="str">
        <x:f>IF(OR(I48="",O48="",J48=""),"",((O48-I48)*J48))</x:f>
      </x:c>
      <x:c r="S48" s="32" t="str">
        <x:f>IF(OR(I48="",O48=""),"",(O48/I48)-1)</x:f>
      </x:c>
      <x:c r="T48" s="34" t="str">
        <x:f>IF(OR(I48="",O48="",K48="",I48=K48),"",(O48-I48)/(I48-K48))</x:f>
      </x:c>
      <x:c r="U48" s="26"/>
      <x:c r="V48" s="26"/>
      <x:c r="W48" s="24"/>
      <x:c r="X48" s="22"/>
    </x:row>
    <x:row r="49" ht="20" customHeight="1">
      <x:c r="A49" s="28" t="str">
        <x:f>IF(C49="","",ROW()-1)</x:f>
      </x:c>
      <x:c r="B49" s="22"/>
      <x:c r="C49" s="22"/>
      <x:c r="D49" s="22"/>
      <x:c r="E49" s="22"/>
      <x:c r="F49" s="22"/>
      <x:c r="G49" s="24"/>
      <x:c r="H49" s="22"/>
      <x:c r="I49" s="24"/>
      <x:c r="J49" s="26"/>
      <x:c r="K49" s="24"/>
      <x:c r="L49" s="24"/>
      <x:c r="M49" s="24"/>
      <x:c r="N49" s="22"/>
      <x:c r="O49" s="24"/>
      <x:c r="P49" s="22"/>
      <x:c r="Q49" s="28" t="str">
        <x:f>IF(C49="","",IF(N49&lt;&gt;"","CHIUSO",IF(H49&lt;&gt;"","APERTO","SEGNALE")))</x:f>
      </x:c>
      <x:c r="R49" s="30" t="str">
        <x:f>IF(OR(I49="",O49="",J49=""),"",((O49-I49)*J49))</x:f>
      </x:c>
      <x:c r="S49" s="32" t="str">
        <x:f>IF(OR(I49="",O49=""),"",(O49/I49)-1)</x:f>
      </x:c>
      <x:c r="T49" s="34" t="str">
        <x:f>IF(OR(I49="",O49="",K49="",I49=K49),"",(O49-I49)/(I49-K49))</x:f>
      </x:c>
      <x:c r="U49" s="26"/>
      <x:c r="V49" s="26"/>
      <x:c r="W49" s="24"/>
      <x:c r="X49" s="22"/>
    </x:row>
    <x:row r="50" ht="20" customHeight="1">
      <x:c r="A50" s="28" t="str">
        <x:f>IF(C50="","",ROW()-1)</x:f>
      </x:c>
      <x:c r="B50" s="22"/>
      <x:c r="C50" s="22"/>
      <x:c r="D50" s="22"/>
      <x:c r="E50" s="22"/>
      <x:c r="F50" s="22"/>
      <x:c r="G50" s="24"/>
      <x:c r="H50" s="22"/>
      <x:c r="I50" s="24"/>
      <x:c r="J50" s="26"/>
      <x:c r="K50" s="24"/>
      <x:c r="L50" s="24"/>
      <x:c r="M50" s="24"/>
      <x:c r="N50" s="22"/>
      <x:c r="O50" s="24"/>
      <x:c r="P50" s="22"/>
      <x:c r="Q50" s="28" t="str">
        <x:f>IF(C50="","",IF(N50&lt;&gt;"","CHIUSO",IF(H50&lt;&gt;"","APERTO","SEGNALE")))</x:f>
      </x:c>
      <x:c r="R50" s="30" t="str">
        <x:f>IF(OR(I50="",O50="",J50=""),"",((O50-I50)*J50))</x:f>
      </x:c>
      <x:c r="S50" s="32" t="str">
        <x:f>IF(OR(I50="",O50=""),"",(O50/I50)-1)</x:f>
      </x:c>
      <x:c r="T50" s="34" t="str">
        <x:f>IF(OR(I50="",O50="",K50="",I50=K50),"",(O50-I50)/(I50-K50))</x:f>
      </x:c>
      <x:c r="U50" s="26"/>
      <x:c r="V50" s="26"/>
      <x:c r="W50" s="24"/>
      <x:c r="X50" s="22"/>
    </x:row>
    <x:row r="51" ht="20" customHeight="1">
      <x:c r="A51" s="28" t="str">
        <x:f>IF(C51="","",ROW()-1)</x:f>
      </x:c>
      <x:c r="B51" s="22"/>
      <x:c r="C51" s="22"/>
      <x:c r="D51" s="22"/>
      <x:c r="E51" s="22"/>
      <x:c r="F51" s="22"/>
      <x:c r="G51" s="24"/>
      <x:c r="H51" s="22"/>
      <x:c r="I51" s="24"/>
      <x:c r="J51" s="26"/>
      <x:c r="K51" s="24"/>
      <x:c r="L51" s="24"/>
      <x:c r="M51" s="24"/>
      <x:c r="N51" s="22"/>
      <x:c r="O51" s="24"/>
      <x:c r="P51" s="22"/>
      <x:c r="Q51" s="28" t="str">
        <x:f>IF(C51="","",IF(N51&lt;&gt;"","CHIUSO",IF(H51&lt;&gt;"","APERTO","SEGNALE")))</x:f>
      </x:c>
      <x:c r="R51" s="30" t="str">
        <x:f>IF(OR(I51="",O51="",J51=""),"",((O51-I51)*J51))</x:f>
      </x:c>
      <x:c r="S51" s="32" t="str">
        <x:f>IF(OR(I51="",O51=""),"",(O51/I51)-1)</x:f>
      </x:c>
      <x:c r="T51" s="34" t="str">
        <x:f>IF(OR(I51="",O51="",K51="",I51=K51),"",(O51-I51)/(I51-K51))</x:f>
      </x:c>
      <x:c r="U51" s="26"/>
      <x:c r="V51" s="26"/>
      <x:c r="W51" s="24"/>
      <x:c r="X51" s="22"/>
    </x:row>
    <x:row r="52" ht="20" customHeight="1">
      <x:c r="A52" s="28" t="str">
        <x:f>IF(C52="","",ROW()-1)</x:f>
      </x:c>
      <x:c r="B52" s="22"/>
      <x:c r="C52" s="22"/>
      <x:c r="D52" s="22"/>
      <x:c r="E52" s="22"/>
      <x:c r="F52" s="22"/>
      <x:c r="G52" s="24"/>
      <x:c r="H52" s="22"/>
      <x:c r="I52" s="24"/>
      <x:c r="J52" s="26"/>
      <x:c r="K52" s="24"/>
      <x:c r="L52" s="24"/>
      <x:c r="M52" s="24"/>
      <x:c r="N52" s="22"/>
      <x:c r="O52" s="24"/>
      <x:c r="P52" s="22"/>
      <x:c r="Q52" s="28" t="str">
        <x:f>IF(C52="","",IF(N52&lt;&gt;"","CHIUSO",IF(H52&lt;&gt;"","APERTO","SEGNALE")))</x:f>
      </x:c>
      <x:c r="R52" s="30" t="str">
        <x:f>IF(OR(I52="",O52="",J52=""),"",((O52-I52)*J52))</x:f>
      </x:c>
      <x:c r="S52" s="32" t="str">
        <x:f>IF(OR(I52="",O52=""),"",(O52/I52)-1)</x:f>
      </x:c>
      <x:c r="T52" s="34" t="str">
        <x:f>IF(OR(I52="",O52="",K52="",I52=K52),"",(O52-I52)/(I52-K52))</x:f>
      </x:c>
      <x:c r="U52" s="26"/>
      <x:c r="V52" s="26"/>
      <x:c r="W52" s="24"/>
      <x:c r="X52" s="22"/>
    </x:row>
    <x:row r="53" ht="20" customHeight="1">
      <x:c r="A53" s="28" t="str">
        <x:f>IF(C53="","",ROW()-1)</x:f>
      </x:c>
      <x:c r="B53" s="22"/>
      <x:c r="C53" s="22"/>
      <x:c r="D53" s="22"/>
      <x:c r="E53" s="22"/>
      <x:c r="F53" s="22"/>
      <x:c r="G53" s="24"/>
      <x:c r="H53" s="22"/>
      <x:c r="I53" s="24"/>
      <x:c r="J53" s="26"/>
      <x:c r="K53" s="24"/>
      <x:c r="L53" s="24"/>
      <x:c r="M53" s="24"/>
      <x:c r="N53" s="22"/>
      <x:c r="O53" s="24"/>
      <x:c r="P53" s="22"/>
      <x:c r="Q53" s="28" t="str">
        <x:f>IF(C53="","",IF(N53&lt;&gt;"","CHIUSO",IF(H53&lt;&gt;"","APERTO","SEGNALE")))</x:f>
      </x:c>
      <x:c r="R53" s="30" t="str">
        <x:f>IF(OR(I53="",O53="",J53=""),"",((O53-I53)*J53))</x:f>
      </x:c>
      <x:c r="S53" s="32" t="str">
        <x:f>IF(OR(I53="",O53=""),"",(O53/I53)-1)</x:f>
      </x:c>
      <x:c r="T53" s="34" t="str">
        <x:f>IF(OR(I53="",O53="",K53="",I53=K53),"",(O53-I53)/(I53-K53))</x:f>
      </x:c>
      <x:c r="U53" s="26"/>
      <x:c r="V53" s="26"/>
      <x:c r="W53" s="24"/>
      <x:c r="X53" s="22"/>
    </x:row>
    <x:row r="54" ht="20" customHeight="1">
      <x:c r="A54" s="28" t="str">
        <x:f>IF(C54="","",ROW()-1)</x:f>
      </x:c>
      <x:c r="B54" s="22"/>
      <x:c r="C54" s="22"/>
      <x:c r="D54" s="22"/>
      <x:c r="E54" s="22"/>
      <x:c r="F54" s="22"/>
      <x:c r="G54" s="24"/>
      <x:c r="H54" s="22"/>
      <x:c r="I54" s="24"/>
      <x:c r="J54" s="26"/>
      <x:c r="K54" s="24"/>
      <x:c r="L54" s="24"/>
      <x:c r="M54" s="24"/>
      <x:c r="N54" s="22"/>
      <x:c r="O54" s="24"/>
      <x:c r="P54" s="22"/>
      <x:c r="Q54" s="28" t="str">
        <x:f>IF(C54="","",IF(N54&lt;&gt;"","CHIUSO",IF(H54&lt;&gt;"","APERTO","SEGNALE")))</x:f>
      </x:c>
      <x:c r="R54" s="30" t="str">
        <x:f>IF(OR(I54="",O54="",J54=""),"",((O54-I54)*J54))</x:f>
      </x:c>
      <x:c r="S54" s="32" t="str">
        <x:f>IF(OR(I54="",O54=""),"",(O54/I54)-1)</x:f>
      </x:c>
      <x:c r="T54" s="34" t="str">
        <x:f>IF(OR(I54="",O54="",K54="",I54=K54),"",(O54-I54)/(I54-K54))</x:f>
      </x:c>
      <x:c r="U54" s="26"/>
      <x:c r="V54" s="26"/>
      <x:c r="W54" s="24"/>
      <x:c r="X54" s="22"/>
    </x:row>
    <x:row r="55" ht="20" customHeight="1">
      <x:c r="A55" s="28" t="str">
        <x:f>IF(C55="","",ROW()-1)</x:f>
      </x:c>
      <x:c r="B55" s="22"/>
      <x:c r="C55" s="22"/>
      <x:c r="D55" s="22"/>
      <x:c r="E55" s="22"/>
      <x:c r="F55" s="22"/>
      <x:c r="G55" s="24"/>
      <x:c r="H55" s="22"/>
      <x:c r="I55" s="24"/>
      <x:c r="J55" s="26"/>
      <x:c r="K55" s="24"/>
      <x:c r="L55" s="24"/>
      <x:c r="M55" s="24"/>
      <x:c r="N55" s="22"/>
      <x:c r="O55" s="24"/>
      <x:c r="P55" s="22"/>
      <x:c r="Q55" s="28" t="str">
        <x:f>IF(C55="","",IF(N55&lt;&gt;"","CHIUSO",IF(H55&lt;&gt;"","APERTO","SEGNALE")))</x:f>
      </x:c>
      <x:c r="R55" s="30" t="str">
        <x:f>IF(OR(I55="",O55="",J55=""),"",((O55-I55)*J55))</x:f>
      </x:c>
      <x:c r="S55" s="32" t="str">
        <x:f>IF(OR(I55="",O55=""),"",(O55/I55)-1)</x:f>
      </x:c>
      <x:c r="T55" s="34" t="str">
        <x:f>IF(OR(I55="",O55="",K55="",I55=K55),"",(O55-I55)/(I55-K55))</x:f>
      </x:c>
      <x:c r="U55" s="26"/>
      <x:c r="V55" s="26"/>
      <x:c r="W55" s="24"/>
      <x:c r="X55" s="22"/>
    </x:row>
    <x:row r="56" ht="20" customHeight="1">
      <x:c r="A56" s="28" t="str">
        <x:f>IF(C56="","",ROW()-1)</x:f>
      </x:c>
      <x:c r="B56" s="22"/>
      <x:c r="C56" s="22"/>
      <x:c r="D56" s="22"/>
      <x:c r="E56" s="22"/>
      <x:c r="F56" s="22"/>
      <x:c r="G56" s="24"/>
      <x:c r="H56" s="22"/>
      <x:c r="I56" s="24"/>
      <x:c r="J56" s="26"/>
      <x:c r="K56" s="24"/>
      <x:c r="L56" s="24"/>
      <x:c r="M56" s="24"/>
      <x:c r="N56" s="22"/>
      <x:c r="O56" s="24"/>
      <x:c r="P56" s="22"/>
      <x:c r="Q56" s="28" t="str">
        <x:f>IF(C56="","",IF(N56&lt;&gt;"","CHIUSO",IF(H56&lt;&gt;"","APERTO","SEGNALE")))</x:f>
      </x:c>
      <x:c r="R56" s="30" t="str">
        <x:f>IF(OR(I56="",O56="",J56=""),"",((O56-I56)*J56))</x:f>
      </x:c>
      <x:c r="S56" s="32" t="str">
        <x:f>IF(OR(I56="",O56=""),"",(O56/I56)-1)</x:f>
      </x:c>
      <x:c r="T56" s="34" t="str">
        <x:f>IF(OR(I56="",O56="",K56="",I56=K56),"",(O56-I56)/(I56-K56))</x:f>
      </x:c>
      <x:c r="U56" s="26"/>
      <x:c r="V56" s="26"/>
      <x:c r="W56" s="24"/>
      <x:c r="X56" s="22"/>
    </x:row>
    <x:row r="57" ht="20" customHeight="1">
      <x:c r="A57" s="28" t="str">
        <x:f>IF(C57="","",ROW()-1)</x:f>
      </x:c>
      <x:c r="B57" s="22"/>
      <x:c r="C57" s="22"/>
      <x:c r="D57" s="22"/>
      <x:c r="E57" s="22"/>
      <x:c r="F57" s="22"/>
      <x:c r="G57" s="24"/>
      <x:c r="H57" s="22"/>
      <x:c r="I57" s="24"/>
      <x:c r="J57" s="26"/>
      <x:c r="K57" s="24"/>
      <x:c r="L57" s="24"/>
      <x:c r="M57" s="24"/>
      <x:c r="N57" s="22"/>
      <x:c r="O57" s="24"/>
      <x:c r="P57" s="22"/>
      <x:c r="Q57" s="28" t="str">
        <x:f>IF(C57="","",IF(N57&lt;&gt;"","CHIUSO",IF(H57&lt;&gt;"","APERTO","SEGNALE")))</x:f>
      </x:c>
      <x:c r="R57" s="30" t="str">
        <x:f>IF(OR(I57="",O57="",J57=""),"",((O57-I57)*J57))</x:f>
      </x:c>
      <x:c r="S57" s="32" t="str">
        <x:f>IF(OR(I57="",O57=""),"",(O57/I57)-1)</x:f>
      </x:c>
      <x:c r="T57" s="34" t="str">
        <x:f>IF(OR(I57="",O57="",K57="",I57=K57),"",(O57-I57)/(I57-K57))</x:f>
      </x:c>
      <x:c r="U57" s="26"/>
      <x:c r="V57" s="26"/>
      <x:c r="W57" s="24"/>
      <x:c r="X57" s="22"/>
    </x:row>
    <x:row r="58" ht="20" customHeight="1">
      <x:c r="A58" s="28" t="str">
        <x:f>IF(C58="","",ROW()-1)</x:f>
      </x:c>
      <x:c r="B58" s="22"/>
      <x:c r="C58" s="22"/>
      <x:c r="D58" s="22"/>
      <x:c r="E58" s="22"/>
      <x:c r="F58" s="22"/>
      <x:c r="G58" s="24"/>
      <x:c r="H58" s="22"/>
      <x:c r="I58" s="24"/>
      <x:c r="J58" s="26"/>
      <x:c r="K58" s="24"/>
      <x:c r="L58" s="24"/>
      <x:c r="M58" s="24"/>
      <x:c r="N58" s="22"/>
      <x:c r="O58" s="24"/>
      <x:c r="P58" s="22"/>
      <x:c r="Q58" s="28" t="str">
        <x:f>IF(C58="","",IF(N58&lt;&gt;"","CHIUSO",IF(H58&lt;&gt;"","APERTO","SEGNALE")))</x:f>
      </x:c>
      <x:c r="R58" s="30" t="str">
        <x:f>IF(OR(I58="",O58="",J58=""),"",((O58-I58)*J58))</x:f>
      </x:c>
      <x:c r="S58" s="32" t="str">
        <x:f>IF(OR(I58="",O58=""),"",(O58/I58)-1)</x:f>
      </x:c>
      <x:c r="T58" s="34" t="str">
        <x:f>IF(OR(I58="",O58="",K58="",I58=K58),"",(O58-I58)/(I58-K58))</x:f>
      </x:c>
      <x:c r="U58" s="26"/>
      <x:c r="V58" s="26"/>
      <x:c r="W58" s="24"/>
      <x:c r="X58" s="22"/>
    </x:row>
    <x:row r="59" ht="20" customHeight="1">
      <x:c r="A59" s="28" t="str">
        <x:f>IF(C59="","",ROW()-1)</x:f>
      </x:c>
      <x:c r="B59" s="22"/>
      <x:c r="C59" s="22"/>
      <x:c r="D59" s="22"/>
      <x:c r="E59" s="22"/>
      <x:c r="F59" s="22"/>
      <x:c r="G59" s="24"/>
      <x:c r="H59" s="22"/>
      <x:c r="I59" s="24"/>
      <x:c r="J59" s="26"/>
      <x:c r="K59" s="24"/>
      <x:c r="L59" s="24"/>
      <x:c r="M59" s="24"/>
      <x:c r="N59" s="22"/>
      <x:c r="O59" s="24"/>
      <x:c r="P59" s="22"/>
      <x:c r="Q59" s="28" t="str">
        <x:f>IF(C59="","",IF(N59&lt;&gt;"","CHIUSO",IF(H59&lt;&gt;"","APERTO","SEGNALE")))</x:f>
      </x:c>
      <x:c r="R59" s="30" t="str">
        <x:f>IF(OR(I59="",O59="",J59=""),"",((O59-I59)*J59))</x:f>
      </x:c>
      <x:c r="S59" s="32" t="str">
        <x:f>IF(OR(I59="",O59=""),"",(O59/I59)-1)</x:f>
      </x:c>
      <x:c r="T59" s="34" t="str">
        <x:f>IF(OR(I59="",O59="",K59="",I59=K59),"",(O59-I59)/(I59-K59))</x:f>
      </x:c>
      <x:c r="U59" s="26"/>
      <x:c r="V59" s="26"/>
      <x:c r="W59" s="24"/>
      <x:c r="X59" s="22"/>
    </x:row>
    <x:row r="60" ht="20" customHeight="1">
      <x:c r="A60" s="28" t="str">
        <x:f>IF(C60="","",ROW()-1)</x:f>
      </x:c>
      <x:c r="B60" s="22"/>
      <x:c r="C60" s="22"/>
      <x:c r="D60" s="22"/>
      <x:c r="E60" s="22"/>
      <x:c r="F60" s="22"/>
      <x:c r="G60" s="24"/>
      <x:c r="H60" s="22"/>
      <x:c r="I60" s="24"/>
      <x:c r="J60" s="26"/>
      <x:c r="K60" s="24"/>
      <x:c r="L60" s="24"/>
      <x:c r="M60" s="24"/>
      <x:c r="N60" s="22"/>
      <x:c r="O60" s="24"/>
      <x:c r="P60" s="22"/>
      <x:c r="Q60" s="28" t="str">
        <x:f>IF(C60="","",IF(N60&lt;&gt;"","CHIUSO",IF(H60&lt;&gt;"","APERTO","SEGNALE")))</x:f>
      </x:c>
      <x:c r="R60" s="30" t="str">
        <x:f>IF(OR(I60="",O60="",J60=""),"",((O60-I60)*J60))</x:f>
      </x:c>
      <x:c r="S60" s="32" t="str">
        <x:f>IF(OR(I60="",O60=""),"",(O60/I60)-1)</x:f>
      </x:c>
      <x:c r="T60" s="34" t="str">
        <x:f>IF(OR(I60="",O60="",K60="",I60=K60),"",(O60-I60)/(I60-K60))</x:f>
      </x:c>
      <x:c r="U60" s="26"/>
      <x:c r="V60" s="26"/>
      <x:c r="W60" s="24"/>
      <x:c r="X60" s="22"/>
    </x:row>
    <x:row r="61" ht="20" customHeight="1">
      <x:c r="A61" s="28" t="str">
        <x:f>IF(C61="","",ROW()-1)</x:f>
      </x:c>
      <x:c r="B61" s="22"/>
      <x:c r="C61" s="22"/>
      <x:c r="D61" s="22"/>
      <x:c r="E61" s="22"/>
      <x:c r="F61" s="22"/>
      <x:c r="G61" s="24"/>
      <x:c r="H61" s="22"/>
      <x:c r="I61" s="24"/>
      <x:c r="J61" s="26"/>
      <x:c r="K61" s="24"/>
      <x:c r="L61" s="24"/>
      <x:c r="M61" s="24"/>
      <x:c r="N61" s="22"/>
      <x:c r="O61" s="24"/>
      <x:c r="P61" s="22"/>
      <x:c r="Q61" s="28" t="str">
        <x:f>IF(C61="","",IF(N61&lt;&gt;"","CHIUSO",IF(H61&lt;&gt;"","APERTO","SEGNALE")))</x:f>
      </x:c>
      <x:c r="R61" s="30" t="str">
        <x:f>IF(OR(I61="",O61="",J61=""),"",((O61-I61)*J61))</x:f>
      </x:c>
      <x:c r="S61" s="32" t="str">
        <x:f>IF(OR(I61="",O61=""),"",(O61/I61)-1)</x:f>
      </x:c>
      <x:c r="T61" s="34" t="str">
        <x:f>IF(OR(I61="",O61="",K61="",I61=K61),"",(O61-I61)/(I61-K61))</x:f>
      </x:c>
      <x:c r="U61" s="26"/>
      <x:c r="V61" s="26"/>
      <x:c r="W61" s="24"/>
      <x:c r="X61" s="22"/>
    </x:row>
    <x:row r="62" ht="20" customHeight="1">
      <x:c r="A62" s="28" t="str">
        <x:f>IF(C62="","",ROW()-1)</x:f>
      </x:c>
      <x:c r="B62" s="22"/>
      <x:c r="C62" s="22"/>
      <x:c r="D62" s="22"/>
      <x:c r="E62" s="22"/>
      <x:c r="F62" s="22"/>
      <x:c r="G62" s="24"/>
      <x:c r="H62" s="22"/>
      <x:c r="I62" s="24"/>
      <x:c r="J62" s="26"/>
      <x:c r="K62" s="24"/>
      <x:c r="L62" s="24"/>
      <x:c r="M62" s="24"/>
      <x:c r="N62" s="22"/>
      <x:c r="O62" s="24"/>
      <x:c r="P62" s="22"/>
      <x:c r="Q62" s="28" t="str">
        <x:f>IF(C62="","",IF(N62&lt;&gt;"","CHIUSO",IF(H62&lt;&gt;"","APERTO","SEGNALE")))</x:f>
      </x:c>
      <x:c r="R62" s="30" t="str">
        <x:f>IF(OR(I62="",O62="",J62=""),"",((O62-I62)*J62))</x:f>
      </x:c>
      <x:c r="S62" s="32" t="str">
        <x:f>IF(OR(I62="",O62=""),"",(O62/I62)-1)</x:f>
      </x:c>
      <x:c r="T62" s="34" t="str">
        <x:f>IF(OR(I62="",O62="",K62="",I62=K62),"",(O62-I62)/(I62-K62))</x:f>
      </x:c>
      <x:c r="U62" s="26"/>
      <x:c r="V62" s="26"/>
      <x:c r="W62" s="24"/>
      <x:c r="X62" s="22"/>
    </x:row>
    <x:row r="63" ht="20" customHeight="1">
      <x:c r="A63" s="28" t="str">
        <x:f>IF(C63="","",ROW()-1)</x:f>
      </x:c>
      <x:c r="B63" s="22"/>
      <x:c r="C63" s="22"/>
      <x:c r="D63" s="22"/>
      <x:c r="E63" s="22"/>
      <x:c r="F63" s="22"/>
      <x:c r="G63" s="24"/>
      <x:c r="H63" s="22"/>
      <x:c r="I63" s="24"/>
      <x:c r="J63" s="26"/>
      <x:c r="K63" s="24"/>
      <x:c r="L63" s="24"/>
      <x:c r="M63" s="24"/>
      <x:c r="N63" s="22"/>
      <x:c r="O63" s="24"/>
      <x:c r="P63" s="22"/>
      <x:c r="Q63" s="28" t="str">
        <x:f>IF(C63="","",IF(N63&lt;&gt;"","CHIUSO",IF(H63&lt;&gt;"","APERTO","SEGNALE")))</x:f>
      </x:c>
      <x:c r="R63" s="30" t="str">
        <x:f>IF(OR(I63="",O63="",J63=""),"",((O63-I63)*J63))</x:f>
      </x:c>
      <x:c r="S63" s="32" t="str">
        <x:f>IF(OR(I63="",O63=""),"",(O63/I63)-1)</x:f>
      </x:c>
      <x:c r="T63" s="34" t="str">
        <x:f>IF(OR(I63="",O63="",K63="",I63=K63),"",(O63-I63)/(I63-K63))</x:f>
      </x:c>
      <x:c r="U63" s="26"/>
      <x:c r="V63" s="26"/>
      <x:c r="W63" s="24"/>
      <x:c r="X63" s="22"/>
    </x:row>
    <x:row r="64" ht="20" customHeight="1">
      <x:c r="A64" s="28" t="str">
        <x:f>IF(C64="","",ROW()-1)</x:f>
      </x:c>
      <x:c r="B64" s="22"/>
      <x:c r="C64" s="22"/>
      <x:c r="D64" s="22"/>
      <x:c r="E64" s="22"/>
      <x:c r="F64" s="22"/>
      <x:c r="G64" s="24"/>
      <x:c r="H64" s="22"/>
      <x:c r="I64" s="24"/>
      <x:c r="J64" s="26"/>
      <x:c r="K64" s="24"/>
      <x:c r="L64" s="24"/>
      <x:c r="M64" s="24"/>
      <x:c r="N64" s="22"/>
      <x:c r="O64" s="24"/>
      <x:c r="P64" s="22"/>
      <x:c r="Q64" s="28" t="str">
        <x:f>IF(C64="","",IF(N64&lt;&gt;"","CHIUSO",IF(H64&lt;&gt;"","APERTO","SEGNALE")))</x:f>
      </x:c>
      <x:c r="R64" s="30" t="str">
        <x:f>IF(OR(I64="",O64="",J64=""),"",((O64-I64)*J64))</x:f>
      </x:c>
      <x:c r="S64" s="32" t="str">
        <x:f>IF(OR(I64="",O64=""),"",(O64/I64)-1)</x:f>
      </x:c>
      <x:c r="T64" s="34" t="str">
        <x:f>IF(OR(I64="",O64="",K64="",I64=K64),"",(O64-I64)/(I64-K64))</x:f>
      </x:c>
      <x:c r="U64" s="26"/>
      <x:c r="V64" s="26"/>
      <x:c r="W64" s="24"/>
      <x:c r="X64" s="22"/>
    </x:row>
    <x:row r="65" ht="20" customHeight="1">
      <x:c r="A65" s="28" t="str">
        <x:f>IF(C65="","",ROW()-1)</x:f>
      </x:c>
      <x:c r="B65" s="22"/>
      <x:c r="C65" s="22"/>
      <x:c r="D65" s="22"/>
      <x:c r="E65" s="22"/>
      <x:c r="F65" s="22"/>
      <x:c r="G65" s="24"/>
      <x:c r="H65" s="22"/>
      <x:c r="I65" s="24"/>
      <x:c r="J65" s="26"/>
      <x:c r="K65" s="24"/>
      <x:c r="L65" s="24"/>
      <x:c r="M65" s="24"/>
      <x:c r="N65" s="22"/>
      <x:c r="O65" s="24"/>
      <x:c r="P65" s="22"/>
      <x:c r="Q65" s="28" t="str">
        <x:f>IF(C65="","",IF(N65&lt;&gt;"","CHIUSO",IF(H65&lt;&gt;"","APERTO","SEGNALE")))</x:f>
      </x:c>
      <x:c r="R65" s="30" t="str">
        <x:f>IF(OR(I65="",O65="",J65=""),"",((O65-I65)*J65))</x:f>
      </x:c>
      <x:c r="S65" s="32" t="str">
        <x:f>IF(OR(I65="",O65=""),"",(O65/I65)-1)</x:f>
      </x:c>
      <x:c r="T65" s="34" t="str">
        <x:f>IF(OR(I65="",O65="",K65="",I65=K65),"",(O65-I65)/(I65-K65))</x:f>
      </x:c>
      <x:c r="U65" s="26"/>
      <x:c r="V65" s="26"/>
      <x:c r="W65" s="24"/>
      <x:c r="X65" s="22"/>
    </x:row>
    <x:row r="66" ht="20" customHeight="1">
      <x:c r="A66" s="28" t="str">
        <x:f>IF(C66="","",ROW()-1)</x:f>
      </x:c>
      <x:c r="B66" s="22"/>
      <x:c r="C66" s="22"/>
      <x:c r="D66" s="22"/>
      <x:c r="E66" s="22"/>
      <x:c r="F66" s="22"/>
      <x:c r="G66" s="24"/>
      <x:c r="H66" s="22"/>
      <x:c r="I66" s="24"/>
      <x:c r="J66" s="26"/>
      <x:c r="K66" s="24"/>
      <x:c r="L66" s="24"/>
      <x:c r="M66" s="24"/>
      <x:c r="N66" s="22"/>
      <x:c r="O66" s="24"/>
      <x:c r="P66" s="22"/>
      <x:c r="Q66" s="28" t="str">
        <x:f>IF(C66="","",IF(N66&lt;&gt;"","CHIUSO",IF(H66&lt;&gt;"","APERTO","SEGNALE")))</x:f>
      </x:c>
      <x:c r="R66" s="30" t="str">
        <x:f>IF(OR(I66="",O66="",J66=""),"",((O66-I66)*J66))</x:f>
      </x:c>
      <x:c r="S66" s="32" t="str">
        <x:f>IF(OR(I66="",O66=""),"",(O66/I66)-1)</x:f>
      </x:c>
      <x:c r="T66" s="34" t="str">
        <x:f>IF(OR(I66="",O66="",K66="",I66=K66),"",(O66-I66)/(I66-K66))</x:f>
      </x:c>
      <x:c r="U66" s="26"/>
      <x:c r="V66" s="26"/>
      <x:c r="W66" s="24"/>
      <x:c r="X66" s="22"/>
    </x:row>
    <x:row r="67" ht="20" customHeight="1">
      <x:c r="A67" s="28" t="str">
        <x:f>IF(C67="","",ROW()-1)</x:f>
      </x:c>
      <x:c r="B67" s="22"/>
      <x:c r="C67" s="22"/>
      <x:c r="D67" s="22"/>
      <x:c r="E67" s="22"/>
      <x:c r="F67" s="22"/>
      <x:c r="G67" s="24"/>
      <x:c r="H67" s="22"/>
      <x:c r="I67" s="24"/>
      <x:c r="J67" s="26"/>
      <x:c r="K67" s="24"/>
      <x:c r="L67" s="24"/>
      <x:c r="M67" s="24"/>
      <x:c r="N67" s="22"/>
      <x:c r="O67" s="24"/>
      <x:c r="P67" s="22"/>
      <x:c r="Q67" s="28" t="str">
        <x:f>IF(C67="","",IF(N67&lt;&gt;"","CHIUSO",IF(H67&lt;&gt;"","APERTO","SEGNALE")))</x:f>
      </x:c>
      <x:c r="R67" s="30" t="str">
        <x:f>IF(OR(I67="",O67="",J67=""),"",((O67-I67)*J67))</x:f>
      </x:c>
      <x:c r="S67" s="32" t="str">
        <x:f>IF(OR(I67="",O67=""),"",(O67/I67)-1)</x:f>
      </x:c>
      <x:c r="T67" s="34" t="str">
        <x:f>IF(OR(I67="",O67="",K67="",I67=K67),"",(O67-I67)/(I67-K67))</x:f>
      </x:c>
      <x:c r="U67" s="26"/>
      <x:c r="V67" s="26"/>
      <x:c r="W67" s="24"/>
      <x:c r="X67" s="22"/>
    </x:row>
    <x:row r="68" ht="20" customHeight="1">
      <x:c r="A68" s="28" t="str">
        <x:f>IF(C68="","",ROW()-1)</x:f>
      </x:c>
      <x:c r="B68" s="22"/>
      <x:c r="C68" s="22"/>
      <x:c r="D68" s="22"/>
      <x:c r="E68" s="22"/>
      <x:c r="F68" s="22"/>
      <x:c r="G68" s="24"/>
      <x:c r="H68" s="22"/>
      <x:c r="I68" s="24"/>
      <x:c r="J68" s="26"/>
      <x:c r="K68" s="24"/>
      <x:c r="L68" s="24"/>
      <x:c r="M68" s="24"/>
      <x:c r="N68" s="22"/>
      <x:c r="O68" s="24"/>
      <x:c r="P68" s="22"/>
      <x:c r="Q68" s="28" t="str">
        <x:f>IF(C68="","",IF(N68&lt;&gt;"","CHIUSO",IF(H68&lt;&gt;"","APERTO","SEGNALE")))</x:f>
      </x:c>
      <x:c r="R68" s="30" t="str">
        <x:f>IF(OR(I68="",O68="",J68=""),"",((O68-I68)*J68))</x:f>
      </x:c>
      <x:c r="S68" s="32" t="str">
        <x:f>IF(OR(I68="",O68=""),"",(O68/I68)-1)</x:f>
      </x:c>
      <x:c r="T68" s="34" t="str">
        <x:f>IF(OR(I68="",O68="",K68="",I68=K68),"",(O68-I68)/(I68-K68))</x:f>
      </x:c>
      <x:c r="U68" s="26"/>
      <x:c r="V68" s="26"/>
      <x:c r="W68" s="24"/>
      <x:c r="X68" s="22"/>
    </x:row>
    <x:row r="69" ht="20" customHeight="1">
      <x:c r="A69" s="28" t="str">
        <x:f>IF(C69="","",ROW()-1)</x:f>
      </x:c>
      <x:c r="B69" s="22"/>
      <x:c r="C69" s="22"/>
      <x:c r="D69" s="22"/>
      <x:c r="E69" s="22"/>
      <x:c r="F69" s="22"/>
      <x:c r="G69" s="24"/>
      <x:c r="H69" s="22"/>
      <x:c r="I69" s="24"/>
      <x:c r="J69" s="26"/>
      <x:c r="K69" s="24"/>
      <x:c r="L69" s="24"/>
      <x:c r="M69" s="24"/>
      <x:c r="N69" s="22"/>
      <x:c r="O69" s="24"/>
      <x:c r="P69" s="22"/>
      <x:c r="Q69" s="28" t="str">
        <x:f>IF(C69="","",IF(N69&lt;&gt;"","CHIUSO",IF(H69&lt;&gt;"","APERTO","SEGNALE")))</x:f>
      </x:c>
      <x:c r="R69" s="30" t="str">
        <x:f>IF(OR(I69="",O69="",J69=""),"",((O69-I69)*J69))</x:f>
      </x:c>
      <x:c r="S69" s="32" t="str">
        <x:f>IF(OR(I69="",O69=""),"",(O69/I69)-1)</x:f>
      </x:c>
      <x:c r="T69" s="34" t="str">
        <x:f>IF(OR(I69="",O69="",K69="",I69=K69),"",(O69-I69)/(I69-K69))</x:f>
      </x:c>
      <x:c r="U69" s="26"/>
      <x:c r="V69" s="26"/>
      <x:c r="W69" s="24"/>
      <x:c r="X69" s="22"/>
    </x:row>
    <x:row r="70" ht="20" customHeight="1">
      <x:c r="A70" s="28" t="str">
        <x:f>IF(C70="","",ROW()-1)</x:f>
      </x:c>
      <x:c r="B70" s="22"/>
      <x:c r="C70" s="22"/>
      <x:c r="D70" s="22"/>
      <x:c r="E70" s="22"/>
      <x:c r="F70" s="22"/>
      <x:c r="G70" s="24"/>
      <x:c r="H70" s="22"/>
      <x:c r="I70" s="24"/>
      <x:c r="J70" s="26"/>
      <x:c r="K70" s="24"/>
      <x:c r="L70" s="24"/>
      <x:c r="M70" s="24"/>
      <x:c r="N70" s="22"/>
      <x:c r="O70" s="24"/>
      <x:c r="P70" s="22"/>
      <x:c r="Q70" s="28" t="str">
        <x:f>IF(C70="","",IF(N70&lt;&gt;"","CHIUSO",IF(H70&lt;&gt;"","APERTO","SEGNALE")))</x:f>
      </x:c>
      <x:c r="R70" s="30" t="str">
        <x:f>IF(OR(I70="",O70="",J70=""),"",((O70-I70)*J70))</x:f>
      </x:c>
      <x:c r="S70" s="32" t="str">
        <x:f>IF(OR(I70="",O70=""),"",(O70/I70)-1)</x:f>
      </x:c>
      <x:c r="T70" s="34" t="str">
        <x:f>IF(OR(I70="",O70="",K70="",I70=K70),"",(O70-I70)/(I70-K70))</x:f>
      </x:c>
      <x:c r="U70" s="26"/>
      <x:c r="V70" s="26"/>
      <x:c r="W70" s="24"/>
      <x:c r="X70" s="22"/>
    </x:row>
    <x:row r="71" ht="20" customHeight="1">
      <x:c r="A71" s="28" t="str">
        <x:f>IF(C71="","",ROW()-1)</x:f>
      </x:c>
      <x:c r="B71" s="22"/>
      <x:c r="C71" s="22"/>
      <x:c r="D71" s="22"/>
      <x:c r="E71" s="22"/>
      <x:c r="F71" s="22"/>
      <x:c r="G71" s="24"/>
      <x:c r="H71" s="22"/>
      <x:c r="I71" s="24"/>
      <x:c r="J71" s="26"/>
      <x:c r="K71" s="24"/>
      <x:c r="L71" s="24"/>
      <x:c r="M71" s="24"/>
      <x:c r="N71" s="22"/>
      <x:c r="O71" s="24"/>
      <x:c r="P71" s="22"/>
      <x:c r="Q71" s="28" t="str">
        <x:f>IF(C71="","",IF(N71&lt;&gt;"","CHIUSO",IF(H71&lt;&gt;"","APERTO","SEGNALE")))</x:f>
      </x:c>
      <x:c r="R71" s="30" t="str">
        <x:f>IF(OR(I71="",O71="",J71=""),"",((O71-I71)*J71))</x:f>
      </x:c>
      <x:c r="S71" s="32" t="str">
        <x:f>IF(OR(I71="",O71=""),"",(O71/I71)-1)</x:f>
      </x:c>
      <x:c r="T71" s="34" t="str">
        <x:f>IF(OR(I71="",O71="",K71="",I71=K71),"",(O71-I71)/(I71-K71))</x:f>
      </x:c>
      <x:c r="U71" s="26"/>
      <x:c r="V71" s="26"/>
      <x:c r="W71" s="24"/>
      <x:c r="X71" s="22"/>
    </x:row>
    <x:row r="72" ht="20" customHeight="1">
      <x:c r="A72" s="28" t="str">
        <x:f>IF(C72="","",ROW()-1)</x:f>
      </x:c>
      <x:c r="B72" s="22"/>
      <x:c r="C72" s="22"/>
      <x:c r="D72" s="22"/>
      <x:c r="E72" s="22"/>
      <x:c r="F72" s="22"/>
      <x:c r="G72" s="24"/>
      <x:c r="H72" s="22"/>
      <x:c r="I72" s="24"/>
      <x:c r="J72" s="26"/>
      <x:c r="K72" s="24"/>
      <x:c r="L72" s="24"/>
      <x:c r="M72" s="24"/>
      <x:c r="N72" s="22"/>
      <x:c r="O72" s="24"/>
      <x:c r="P72" s="22"/>
      <x:c r="Q72" s="28" t="str">
        <x:f>IF(C72="","",IF(N72&lt;&gt;"","CHIUSO",IF(H72&lt;&gt;"","APERTO","SEGNALE")))</x:f>
      </x:c>
      <x:c r="R72" s="30" t="str">
        <x:f>IF(OR(I72="",O72="",J72=""),"",((O72-I72)*J72))</x:f>
      </x:c>
      <x:c r="S72" s="32" t="str">
        <x:f>IF(OR(I72="",O72=""),"",(O72/I72)-1)</x:f>
      </x:c>
      <x:c r="T72" s="34" t="str">
        <x:f>IF(OR(I72="",O72="",K72="",I72=K72),"",(O72-I72)/(I72-K72))</x:f>
      </x:c>
      <x:c r="U72" s="26"/>
      <x:c r="V72" s="26"/>
      <x:c r="W72" s="24"/>
      <x:c r="X72" s="22"/>
    </x:row>
    <x:row r="73" ht="20" customHeight="1">
      <x:c r="A73" s="28" t="str">
        <x:f>IF(C73="","",ROW()-1)</x:f>
      </x:c>
      <x:c r="B73" s="22"/>
      <x:c r="C73" s="22"/>
      <x:c r="D73" s="22"/>
      <x:c r="E73" s="22"/>
      <x:c r="F73" s="22"/>
      <x:c r="G73" s="24"/>
      <x:c r="H73" s="22"/>
      <x:c r="I73" s="24"/>
      <x:c r="J73" s="26"/>
      <x:c r="K73" s="24"/>
      <x:c r="L73" s="24"/>
      <x:c r="M73" s="24"/>
      <x:c r="N73" s="22"/>
      <x:c r="O73" s="24"/>
      <x:c r="P73" s="22"/>
      <x:c r="Q73" s="28" t="str">
        <x:f>IF(C73="","",IF(N73&lt;&gt;"","CHIUSO",IF(H73&lt;&gt;"","APERTO","SEGNALE")))</x:f>
      </x:c>
      <x:c r="R73" s="30" t="str">
        <x:f>IF(OR(I73="",O73="",J73=""),"",((O73-I73)*J73))</x:f>
      </x:c>
      <x:c r="S73" s="32" t="str">
        <x:f>IF(OR(I73="",O73=""),"",(O73/I73)-1)</x:f>
      </x:c>
      <x:c r="T73" s="34" t="str">
        <x:f>IF(OR(I73="",O73="",K73="",I73=K73),"",(O73-I73)/(I73-K73))</x:f>
      </x:c>
      <x:c r="U73" s="26"/>
      <x:c r="V73" s="26"/>
      <x:c r="W73" s="24"/>
      <x:c r="X73" s="22"/>
    </x:row>
    <x:row r="74" ht="20" customHeight="1">
      <x:c r="A74" s="28" t="str">
        <x:f>IF(C74="","",ROW()-1)</x:f>
      </x:c>
      <x:c r="B74" s="22"/>
      <x:c r="C74" s="22"/>
      <x:c r="D74" s="22"/>
      <x:c r="E74" s="22"/>
      <x:c r="F74" s="22"/>
      <x:c r="G74" s="24"/>
      <x:c r="H74" s="22"/>
      <x:c r="I74" s="24"/>
      <x:c r="J74" s="26"/>
      <x:c r="K74" s="24"/>
      <x:c r="L74" s="24"/>
      <x:c r="M74" s="24"/>
      <x:c r="N74" s="22"/>
      <x:c r="O74" s="24"/>
      <x:c r="P74" s="22"/>
      <x:c r="Q74" s="28" t="str">
        <x:f>IF(C74="","",IF(N74&lt;&gt;"","CHIUSO",IF(H74&lt;&gt;"","APERTO","SEGNALE")))</x:f>
      </x:c>
      <x:c r="R74" s="30" t="str">
        <x:f>IF(OR(I74="",O74="",J74=""),"",((O74-I74)*J74))</x:f>
      </x:c>
      <x:c r="S74" s="32" t="str">
        <x:f>IF(OR(I74="",O74=""),"",(O74/I74)-1)</x:f>
      </x:c>
      <x:c r="T74" s="34" t="str">
        <x:f>IF(OR(I74="",O74="",K74="",I74=K74),"",(O74-I74)/(I74-K74))</x:f>
      </x:c>
      <x:c r="U74" s="26"/>
      <x:c r="V74" s="26"/>
      <x:c r="W74" s="24"/>
      <x:c r="X74" s="22"/>
    </x:row>
    <x:row r="75" ht="20" customHeight="1">
      <x:c r="A75" s="28" t="str">
        <x:f>IF(C75="","",ROW()-1)</x:f>
      </x:c>
      <x:c r="B75" s="22"/>
      <x:c r="C75" s="22"/>
      <x:c r="D75" s="22"/>
      <x:c r="E75" s="22"/>
      <x:c r="F75" s="22"/>
      <x:c r="G75" s="24"/>
      <x:c r="H75" s="22"/>
      <x:c r="I75" s="24"/>
      <x:c r="J75" s="26"/>
      <x:c r="K75" s="24"/>
      <x:c r="L75" s="24"/>
      <x:c r="M75" s="24"/>
      <x:c r="N75" s="22"/>
      <x:c r="O75" s="24"/>
      <x:c r="P75" s="22"/>
      <x:c r="Q75" s="28" t="str">
        <x:f>IF(C75="","",IF(N75&lt;&gt;"","CHIUSO",IF(H75&lt;&gt;"","APERTO","SEGNALE")))</x:f>
      </x:c>
      <x:c r="R75" s="30" t="str">
        <x:f>IF(OR(I75="",O75="",J75=""),"",((O75-I75)*J75))</x:f>
      </x:c>
      <x:c r="S75" s="32" t="str">
        <x:f>IF(OR(I75="",O75=""),"",(O75/I75)-1)</x:f>
      </x:c>
      <x:c r="T75" s="34" t="str">
        <x:f>IF(OR(I75="",O75="",K75="",I75=K75),"",(O75-I75)/(I75-K75))</x:f>
      </x:c>
      <x:c r="U75" s="26"/>
      <x:c r="V75" s="26"/>
      <x:c r="W75" s="24"/>
      <x:c r="X75" s="22"/>
    </x:row>
    <x:row r="76" ht="20" customHeight="1">
      <x:c r="A76" s="28" t="str">
        <x:f>IF(C76="","",ROW()-1)</x:f>
      </x:c>
      <x:c r="B76" s="22"/>
      <x:c r="C76" s="22"/>
      <x:c r="D76" s="22"/>
      <x:c r="E76" s="22"/>
      <x:c r="F76" s="22"/>
      <x:c r="G76" s="24"/>
      <x:c r="H76" s="22"/>
      <x:c r="I76" s="24"/>
      <x:c r="J76" s="26"/>
      <x:c r="K76" s="24"/>
      <x:c r="L76" s="24"/>
      <x:c r="M76" s="24"/>
      <x:c r="N76" s="22"/>
      <x:c r="O76" s="24"/>
      <x:c r="P76" s="22"/>
      <x:c r="Q76" s="28" t="str">
        <x:f>IF(C76="","",IF(N76&lt;&gt;"","CHIUSO",IF(H76&lt;&gt;"","APERTO","SEGNALE")))</x:f>
      </x:c>
      <x:c r="R76" s="30" t="str">
        <x:f>IF(OR(I76="",O76="",J76=""),"",((O76-I76)*J76))</x:f>
      </x:c>
      <x:c r="S76" s="32" t="str">
        <x:f>IF(OR(I76="",O76=""),"",(O76/I76)-1)</x:f>
      </x:c>
      <x:c r="T76" s="34" t="str">
        <x:f>IF(OR(I76="",O76="",K76="",I76=K76),"",(O76-I76)/(I76-K76))</x:f>
      </x:c>
      <x:c r="U76" s="26"/>
      <x:c r="V76" s="26"/>
      <x:c r="W76" s="24"/>
      <x:c r="X76" s="22"/>
    </x:row>
    <x:row r="77" ht="20" customHeight="1">
      <x:c r="A77" s="28" t="str">
        <x:f>IF(C77="","",ROW()-1)</x:f>
      </x:c>
      <x:c r="B77" s="22"/>
      <x:c r="C77" s="22"/>
      <x:c r="D77" s="22"/>
      <x:c r="E77" s="22"/>
      <x:c r="F77" s="22"/>
      <x:c r="G77" s="24"/>
      <x:c r="H77" s="22"/>
      <x:c r="I77" s="24"/>
      <x:c r="J77" s="26"/>
      <x:c r="K77" s="24"/>
      <x:c r="L77" s="24"/>
      <x:c r="M77" s="24"/>
      <x:c r="N77" s="22"/>
      <x:c r="O77" s="24"/>
      <x:c r="P77" s="22"/>
      <x:c r="Q77" s="28" t="str">
        <x:f>IF(C77="","",IF(N77&lt;&gt;"","CHIUSO",IF(H77&lt;&gt;"","APERTO","SEGNALE")))</x:f>
      </x:c>
      <x:c r="R77" s="30" t="str">
        <x:f>IF(OR(I77="",O77="",J77=""),"",((O77-I77)*J77))</x:f>
      </x:c>
      <x:c r="S77" s="32" t="str">
        <x:f>IF(OR(I77="",O77=""),"",(O77/I77)-1)</x:f>
      </x:c>
      <x:c r="T77" s="34" t="str">
        <x:f>IF(OR(I77="",O77="",K77="",I77=K77),"",(O77-I77)/(I77-K77))</x:f>
      </x:c>
      <x:c r="U77" s="26"/>
      <x:c r="V77" s="26"/>
      <x:c r="W77" s="24"/>
      <x:c r="X77" s="22"/>
    </x:row>
    <x:row r="78" ht="20" customHeight="1">
      <x:c r="A78" s="28" t="str">
        <x:f>IF(C78="","",ROW()-1)</x:f>
      </x:c>
      <x:c r="B78" s="22"/>
      <x:c r="C78" s="22"/>
      <x:c r="D78" s="22"/>
      <x:c r="E78" s="22"/>
      <x:c r="F78" s="22"/>
      <x:c r="G78" s="24"/>
      <x:c r="H78" s="22"/>
      <x:c r="I78" s="24"/>
      <x:c r="J78" s="26"/>
      <x:c r="K78" s="24"/>
      <x:c r="L78" s="24"/>
      <x:c r="M78" s="24"/>
      <x:c r="N78" s="22"/>
      <x:c r="O78" s="24"/>
      <x:c r="P78" s="22"/>
      <x:c r="Q78" s="28" t="str">
        <x:f>IF(C78="","",IF(N78&lt;&gt;"","CHIUSO",IF(H78&lt;&gt;"","APERTO","SEGNALE")))</x:f>
      </x:c>
      <x:c r="R78" s="30" t="str">
        <x:f>IF(OR(I78="",O78="",J78=""),"",((O78-I78)*J78))</x:f>
      </x:c>
      <x:c r="S78" s="32" t="str">
        <x:f>IF(OR(I78="",O78=""),"",(O78/I78)-1)</x:f>
      </x:c>
      <x:c r="T78" s="34" t="str">
        <x:f>IF(OR(I78="",O78="",K78="",I78=K78),"",(O78-I78)/(I78-K78))</x:f>
      </x:c>
      <x:c r="U78" s="26"/>
      <x:c r="V78" s="26"/>
      <x:c r="W78" s="24"/>
      <x:c r="X78" s="22"/>
    </x:row>
    <x:row r="79" ht="20" customHeight="1">
      <x:c r="A79" s="28" t="str">
        <x:f>IF(C79="","",ROW()-1)</x:f>
      </x:c>
      <x:c r="B79" s="22"/>
      <x:c r="C79" s="22"/>
      <x:c r="D79" s="22"/>
      <x:c r="E79" s="22"/>
      <x:c r="F79" s="22"/>
      <x:c r="G79" s="24"/>
      <x:c r="H79" s="22"/>
      <x:c r="I79" s="24"/>
      <x:c r="J79" s="26"/>
      <x:c r="K79" s="24"/>
      <x:c r="L79" s="24"/>
      <x:c r="M79" s="24"/>
      <x:c r="N79" s="22"/>
      <x:c r="O79" s="24"/>
      <x:c r="P79" s="22"/>
      <x:c r="Q79" s="28" t="str">
        <x:f>IF(C79="","",IF(N79&lt;&gt;"","CHIUSO",IF(H79&lt;&gt;"","APERTO","SEGNALE")))</x:f>
      </x:c>
      <x:c r="R79" s="30" t="str">
        <x:f>IF(OR(I79="",O79="",J79=""),"",((O79-I79)*J79))</x:f>
      </x:c>
      <x:c r="S79" s="32" t="str">
        <x:f>IF(OR(I79="",O79=""),"",(O79/I79)-1)</x:f>
      </x:c>
      <x:c r="T79" s="34" t="str">
        <x:f>IF(OR(I79="",O79="",K79="",I79=K79),"",(O79-I79)/(I79-K79))</x:f>
      </x:c>
      <x:c r="U79" s="26"/>
      <x:c r="V79" s="26"/>
      <x:c r="W79" s="24"/>
      <x:c r="X79" s="22"/>
    </x:row>
    <x:row r="80" ht="20" customHeight="1">
      <x:c r="A80" s="28" t="str">
        <x:f>IF(C80="","",ROW()-1)</x:f>
      </x:c>
      <x:c r="B80" s="22"/>
      <x:c r="C80" s="22"/>
      <x:c r="D80" s="22"/>
      <x:c r="E80" s="22"/>
      <x:c r="F80" s="22"/>
      <x:c r="G80" s="24"/>
      <x:c r="H80" s="22"/>
      <x:c r="I80" s="24"/>
      <x:c r="J80" s="26"/>
      <x:c r="K80" s="24"/>
      <x:c r="L80" s="24"/>
      <x:c r="M80" s="24"/>
      <x:c r="N80" s="22"/>
      <x:c r="O80" s="24"/>
      <x:c r="P80" s="22"/>
      <x:c r="Q80" s="28" t="str">
        <x:f>IF(C80="","",IF(N80&lt;&gt;"","CHIUSO",IF(H80&lt;&gt;"","APERTO","SEGNALE")))</x:f>
      </x:c>
      <x:c r="R80" s="30" t="str">
        <x:f>IF(OR(I80="",O80="",J80=""),"",((O80-I80)*J80))</x:f>
      </x:c>
      <x:c r="S80" s="32" t="str">
        <x:f>IF(OR(I80="",O80=""),"",(O80/I80)-1)</x:f>
      </x:c>
      <x:c r="T80" s="34" t="str">
        <x:f>IF(OR(I80="",O80="",K80="",I80=K80),"",(O80-I80)/(I80-K80))</x:f>
      </x:c>
      <x:c r="U80" s="26"/>
      <x:c r="V80" s="26"/>
      <x:c r="W80" s="24"/>
      <x:c r="X80" s="22"/>
    </x:row>
    <x:row r="81" ht="20" customHeight="1">
      <x:c r="A81" s="28" t="str">
        <x:f>IF(C81="","",ROW()-1)</x:f>
      </x:c>
      <x:c r="B81" s="22"/>
      <x:c r="C81" s="22"/>
      <x:c r="D81" s="22"/>
      <x:c r="E81" s="22"/>
      <x:c r="F81" s="22"/>
      <x:c r="G81" s="24"/>
      <x:c r="H81" s="22"/>
      <x:c r="I81" s="24"/>
      <x:c r="J81" s="26"/>
      <x:c r="K81" s="24"/>
      <x:c r="L81" s="24"/>
      <x:c r="M81" s="24"/>
      <x:c r="N81" s="22"/>
      <x:c r="O81" s="24"/>
      <x:c r="P81" s="22"/>
      <x:c r="Q81" s="28" t="str">
        <x:f>IF(C81="","",IF(N81&lt;&gt;"","CHIUSO",IF(H81&lt;&gt;"","APERTO","SEGNALE")))</x:f>
      </x:c>
      <x:c r="R81" s="30" t="str">
        <x:f>IF(OR(I81="",O81="",J81=""),"",((O81-I81)*J81))</x:f>
      </x:c>
      <x:c r="S81" s="32" t="str">
        <x:f>IF(OR(I81="",O81=""),"",(O81/I81)-1)</x:f>
      </x:c>
      <x:c r="T81" s="34" t="str">
        <x:f>IF(OR(I81="",O81="",K81="",I81=K81),"",(O81-I81)/(I81-K81))</x:f>
      </x:c>
      <x:c r="U81" s="26"/>
      <x:c r="V81" s="26"/>
      <x:c r="W81" s="24"/>
      <x:c r="X81" s="22"/>
    </x:row>
    <x:row r="82" ht="20" customHeight="1">
      <x:c r="A82" s="28" t="str">
        <x:f>IF(C82="","",ROW()-1)</x:f>
      </x:c>
      <x:c r="B82" s="22"/>
      <x:c r="C82" s="22"/>
      <x:c r="D82" s="22"/>
      <x:c r="E82" s="22"/>
      <x:c r="F82" s="22"/>
      <x:c r="G82" s="24"/>
      <x:c r="H82" s="22"/>
      <x:c r="I82" s="24"/>
      <x:c r="J82" s="26"/>
      <x:c r="K82" s="24"/>
      <x:c r="L82" s="24"/>
      <x:c r="M82" s="24"/>
      <x:c r="N82" s="22"/>
      <x:c r="O82" s="24"/>
      <x:c r="P82" s="22"/>
      <x:c r="Q82" s="28" t="str">
        <x:f>IF(C82="","",IF(N82&lt;&gt;"","CHIUSO",IF(H82&lt;&gt;"","APERTO","SEGNALE")))</x:f>
      </x:c>
      <x:c r="R82" s="30" t="str">
        <x:f>IF(OR(I82="",O82="",J82=""),"",((O82-I82)*J82))</x:f>
      </x:c>
      <x:c r="S82" s="32" t="str">
        <x:f>IF(OR(I82="",O82=""),"",(O82/I82)-1)</x:f>
      </x:c>
      <x:c r="T82" s="34" t="str">
        <x:f>IF(OR(I82="",O82="",K82="",I82=K82),"",(O82-I82)/(I82-K82))</x:f>
      </x:c>
      <x:c r="U82" s="26"/>
      <x:c r="V82" s="26"/>
      <x:c r="W82" s="24"/>
      <x:c r="X82" s="22"/>
    </x:row>
    <x:row r="83" ht="20" customHeight="1">
      <x:c r="A83" s="28" t="str">
        <x:f>IF(C83="","",ROW()-1)</x:f>
      </x:c>
      <x:c r="B83" s="22"/>
      <x:c r="C83" s="22"/>
      <x:c r="D83" s="22"/>
      <x:c r="E83" s="22"/>
      <x:c r="F83" s="22"/>
      <x:c r="G83" s="24"/>
      <x:c r="H83" s="22"/>
      <x:c r="I83" s="24"/>
      <x:c r="J83" s="26"/>
      <x:c r="K83" s="24"/>
      <x:c r="L83" s="24"/>
      <x:c r="M83" s="24"/>
      <x:c r="N83" s="22"/>
      <x:c r="O83" s="24"/>
      <x:c r="P83" s="22"/>
      <x:c r="Q83" s="28" t="str">
        <x:f>IF(C83="","",IF(N83&lt;&gt;"","CHIUSO",IF(H83&lt;&gt;"","APERTO","SEGNALE")))</x:f>
      </x:c>
      <x:c r="R83" s="30" t="str">
        <x:f>IF(OR(I83="",O83="",J83=""),"",((O83-I83)*J83))</x:f>
      </x:c>
      <x:c r="S83" s="32" t="str">
        <x:f>IF(OR(I83="",O83=""),"",(O83/I83)-1)</x:f>
      </x:c>
      <x:c r="T83" s="34" t="str">
        <x:f>IF(OR(I83="",O83="",K83="",I83=K83),"",(O83-I83)/(I83-K83))</x:f>
      </x:c>
      <x:c r="U83" s="26"/>
      <x:c r="V83" s="26"/>
      <x:c r="W83" s="24"/>
      <x:c r="X83" s="22"/>
    </x:row>
    <x:row r="84" ht="20" customHeight="1">
      <x:c r="A84" s="28" t="str">
        <x:f>IF(C84="","",ROW()-1)</x:f>
      </x:c>
      <x:c r="B84" s="22"/>
      <x:c r="C84" s="22"/>
      <x:c r="D84" s="22"/>
      <x:c r="E84" s="22"/>
      <x:c r="F84" s="22"/>
      <x:c r="G84" s="24"/>
      <x:c r="H84" s="22"/>
      <x:c r="I84" s="24"/>
      <x:c r="J84" s="26"/>
      <x:c r="K84" s="24"/>
      <x:c r="L84" s="24"/>
      <x:c r="M84" s="24"/>
      <x:c r="N84" s="22"/>
      <x:c r="O84" s="24"/>
      <x:c r="P84" s="22"/>
      <x:c r="Q84" s="28" t="str">
        <x:f>IF(C84="","",IF(N84&lt;&gt;"","CHIUSO",IF(H84&lt;&gt;"","APERTO","SEGNALE")))</x:f>
      </x:c>
      <x:c r="R84" s="30" t="str">
        <x:f>IF(OR(I84="",O84="",J84=""),"",((O84-I84)*J84))</x:f>
      </x:c>
      <x:c r="S84" s="32" t="str">
        <x:f>IF(OR(I84="",O84=""),"",(O84/I84)-1)</x:f>
      </x:c>
      <x:c r="T84" s="34" t="str">
        <x:f>IF(OR(I84="",O84="",K84="",I84=K84),"",(O84-I84)/(I84-K84))</x:f>
      </x:c>
      <x:c r="U84" s="26"/>
      <x:c r="V84" s="26"/>
      <x:c r="W84" s="24"/>
      <x:c r="X84" s="22"/>
    </x:row>
    <x:row r="85" ht="20" customHeight="1">
      <x:c r="A85" s="28" t="str">
        <x:f>IF(C85="","",ROW()-1)</x:f>
      </x:c>
      <x:c r="B85" s="22"/>
      <x:c r="C85" s="22"/>
      <x:c r="D85" s="22"/>
      <x:c r="E85" s="22"/>
      <x:c r="F85" s="22"/>
      <x:c r="G85" s="24"/>
      <x:c r="H85" s="22"/>
      <x:c r="I85" s="24"/>
      <x:c r="J85" s="26"/>
      <x:c r="K85" s="24"/>
      <x:c r="L85" s="24"/>
      <x:c r="M85" s="24"/>
      <x:c r="N85" s="22"/>
      <x:c r="O85" s="24"/>
      <x:c r="P85" s="22"/>
      <x:c r="Q85" s="28" t="str">
        <x:f>IF(C85="","",IF(N85&lt;&gt;"","CHIUSO",IF(H85&lt;&gt;"","APERTO","SEGNALE")))</x:f>
      </x:c>
      <x:c r="R85" s="30" t="str">
        <x:f>IF(OR(I85="",O85="",J85=""),"",((O85-I85)*J85))</x:f>
      </x:c>
      <x:c r="S85" s="32" t="str">
        <x:f>IF(OR(I85="",O85=""),"",(O85/I85)-1)</x:f>
      </x:c>
      <x:c r="T85" s="34" t="str">
        <x:f>IF(OR(I85="",O85="",K85="",I85=K85),"",(O85-I85)/(I85-K85))</x:f>
      </x:c>
      <x:c r="U85" s="26"/>
      <x:c r="V85" s="26"/>
      <x:c r="W85" s="24"/>
      <x:c r="X85" s="22"/>
    </x:row>
    <x:row r="86" ht="20" customHeight="1">
      <x:c r="A86" s="28" t="str">
        <x:f>IF(C86="","",ROW()-1)</x:f>
      </x:c>
      <x:c r="B86" s="22"/>
      <x:c r="C86" s="22"/>
      <x:c r="D86" s="22"/>
      <x:c r="E86" s="22"/>
      <x:c r="F86" s="22"/>
      <x:c r="G86" s="24"/>
      <x:c r="H86" s="22"/>
      <x:c r="I86" s="24"/>
      <x:c r="J86" s="26"/>
      <x:c r="K86" s="24"/>
      <x:c r="L86" s="24"/>
      <x:c r="M86" s="24"/>
      <x:c r="N86" s="22"/>
      <x:c r="O86" s="24"/>
      <x:c r="P86" s="22"/>
      <x:c r="Q86" s="28" t="str">
        <x:f>IF(C86="","",IF(N86&lt;&gt;"","CHIUSO",IF(H86&lt;&gt;"","APERTO","SEGNALE")))</x:f>
      </x:c>
      <x:c r="R86" s="30" t="str">
        <x:f>IF(OR(I86="",O86="",J86=""),"",((O86-I86)*J86))</x:f>
      </x:c>
      <x:c r="S86" s="32" t="str">
        <x:f>IF(OR(I86="",O86=""),"",(O86/I86)-1)</x:f>
      </x:c>
      <x:c r="T86" s="34" t="str">
        <x:f>IF(OR(I86="",O86="",K86="",I86=K86),"",(O86-I86)/(I86-K86))</x:f>
      </x:c>
      <x:c r="U86" s="26"/>
      <x:c r="V86" s="26"/>
      <x:c r="W86" s="24"/>
      <x:c r="X86" s="22"/>
    </x:row>
    <x:row r="87" ht="20" customHeight="1">
      <x:c r="A87" s="28" t="str">
        <x:f>IF(C87="","",ROW()-1)</x:f>
      </x:c>
      <x:c r="B87" s="22"/>
      <x:c r="C87" s="22"/>
      <x:c r="D87" s="22"/>
      <x:c r="E87" s="22"/>
      <x:c r="F87" s="22"/>
      <x:c r="G87" s="24"/>
      <x:c r="H87" s="22"/>
      <x:c r="I87" s="24"/>
      <x:c r="J87" s="26"/>
      <x:c r="K87" s="24"/>
      <x:c r="L87" s="24"/>
      <x:c r="M87" s="24"/>
      <x:c r="N87" s="22"/>
      <x:c r="O87" s="24"/>
      <x:c r="P87" s="22"/>
      <x:c r="Q87" s="28" t="str">
        <x:f>IF(C87="","",IF(N87&lt;&gt;"","CHIUSO",IF(H87&lt;&gt;"","APERTO","SEGNALE")))</x:f>
      </x:c>
      <x:c r="R87" s="30" t="str">
        <x:f>IF(OR(I87="",O87="",J87=""),"",((O87-I87)*J87))</x:f>
      </x:c>
      <x:c r="S87" s="32" t="str">
        <x:f>IF(OR(I87="",O87=""),"",(O87/I87)-1)</x:f>
      </x:c>
      <x:c r="T87" s="34" t="str">
        <x:f>IF(OR(I87="",O87="",K87="",I87=K87),"",(O87-I87)/(I87-K87))</x:f>
      </x:c>
      <x:c r="U87" s="26"/>
      <x:c r="V87" s="26"/>
      <x:c r="W87" s="24"/>
      <x:c r="X87" s="22"/>
    </x:row>
    <x:row r="88" ht="20" customHeight="1">
      <x:c r="A88" s="28" t="str">
        <x:f>IF(C88="","",ROW()-1)</x:f>
      </x:c>
      <x:c r="B88" s="22"/>
      <x:c r="C88" s="22"/>
      <x:c r="D88" s="22"/>
      <x:c r="E88" s="22"/>
      <x:c r="F88" s="22"/>
      <x:c r="G88" s="24"/>
      <x:c r="H88" s="22"/>
      <x:c r="I88" s="24"/>
      <x:c r="J88" s="26"/>
      <x:c r="K88" s="24"/>
      <x:c r="L88" s="24"/>
      <x:c r="M88" s="24"/>
      <x:c r="N88" s="22"/>
      <x:c r="O88" s="24"/>
      <x:c r="P88" s="22"/>
      <x:c r="Q88" s="28" t="str">
        <x:f>IF(C88="","",IF(N88&lt;&gt;"","CHIUSO",IF(H88&lt;&gt;"","APERTO","SEGNALE")))</x:f>
      </x:c>
      <x:c r="R88" s="30" t="str">
        <x:f>IF(OR(I88="",O88="",J88=""),"",((O88-I88)*J88))</x:f>
      </x:c>
      <x:c r="S88" s="32" t="str">
        <x:f>IF(OR(I88="",O88=""),"",(O88/I88)-1)</x:f>
      </x:c>
      <x:c r="T88" s="34" t="str">
        <x:f>IF(OR(I88="",O88="",K88="",I88=K88),"",(O88-I88)/(I88-K88))</x:f>
      </x:c>
      <x:c r="U88" s="26"/>
      <x:c r="V88" s="26"/>
      <x:c r="W88" s="24"/>
      <x:c r="X88" s="22"/>
    </x:row>
    <x:row r="89" ht="20" customHeight="1">
      <x:c r="A89" s="28" t="str">
        <x:f>IF(C89="","",ROW()-1)</x:f>
      </x:c>
      <x:c r="B89" s="22"/>
      <x:c r="C89" s="22"/>
      <x:c r="D89" s="22"/>
      <x:c r="E89" s="22"/>
      <x:c r="F89" s="22"/>
      <x:c r="G89" s="24"/>
      <x:c r="H89" s="22"/>
      <x:c r="I89" s="24"/>
      <x:c r="J89" s="26"/>
      <x:c r="K89" s="24"/>
      <x:c r="L89" s="24"/>
      <x:c r="M89" s="24"/>
      <x:c r="N89" s="22"/>
      <x:c r="O89" s="24"/>
      <x:c r="P89" s="22"/>
      <x:c r="Q89" s="28" t="str">
        <x:f>IF(C89="","",IF(N89&lt;&gt;"","CHIUSO",IF(H89&lt;&gt;"","APERTO","SEGNALE")))</x:f>
      </x:c>
      <x:c r="R89" s="30" t="str">
        <x:f>IF(OR(I89="",O89="",J89=""),"",((O89-I89)*J89))</x:f>
      </x:c>
      <x:c r="S89" s="32" t="str">
        <x:f>IF(OR(I89="",O89=""),"",(O89/I89)-1)</x:f>
      </x:c>
      <x:c r="T89" s="34" t="str">
        <x:f>IF(OR(I89="",O89="",K89="",I89=K89),"",(O89-I89)/(I89-K89))</x:f>
      </x:c>
      <x:c r="U89" s="26"/>
      <x:c r="V89" s="26"/>
      <x:c r="W89" s="24"/>
      <x:c r="X89" s="22"/>
    </x:row>
    <x:row r="90" ht="20" customHeight="1">
      <x:c r="A90" s="28" t="str">
        <x:f>IF(C90="","",ROW()-1)</x:f>
      </x:c>
      <x:c r="B90" s="22"/>
      <x:c r="C90" s="22"/>
      <x:c r="D90" s="22"/>
      <x:c r="E90" s="22"/>
      <x:c r="F90" s="22"/>
      <x:c r="G90" s="24"/>
      <x:c r="H90" s="22"/>
      <x:c r="I90" s="24"/>
      <x:c r="J90" s="26"/>
      <x:c r="K90" s="24"/>
      <x:c r="L90" s="24"/>
      <x:c r="M90" s="24"/>
      <x:c r="N90" s="22"/>
      <x:c r="O90" s="24"/>
      <x:c r="P90" s="22"/>
      <x:c r="Q90" s="28" t="str">
        <x:f>IF(C90="","",IF(N90&lt;&gt;"","CHIUSO",IF(H90&lt;&gt;"","APERTO","SEGNALE")))</x:f>
      </x:c>
      <x:c r="R90" s="30" t="str">
        <x:f>IF(OR(I90="",O90="",J90=""),"",((O90-I90)*J90))</x:f>
      </x:c>
      <x:c r="S90" s="32" t="str">
        <x:f>IF(OR(I90="",O90=""),"",(O90/I90)-1)</x:f>
      </x:c>
      <x:c r="T90" s="34" t="str">
        <x:f>IF(OR(I90="",O90="",K90="",I90=K90),"",(O90-I90)/(I90-K90))</x:f>
      </x:c>
      <x:c r="U90" s="26"/>
      <x:c r="V90" s="26"/>
      <x:c r="W90" s="24"/>
      <x:c r="X90" s="22"/>
    </x:row>
    <x:row r="91" ht="20" customHeight="1">
      <x:c r="A91" s="28" t="str">
        <x:f>IF(C91="","",ROW()-1)</x:f>
      </x:c>
      <x:c r="B91" s="22"/>
      <x:c r="C91" s="22"/>
      <x:c r="D91" s="22"/>
      <x:c r="E91" s="22"/>
      <x:c r="F91" s="22"/>
      <x:c r="G91" s="24"/>
      <x:c r="H91" s="22"/>
      <x:c r="I91" s="24"/>
      <x:c r="J91" s="26"/>
      <x:c r="K91" s="24"/>
      <x:c r="L91" s="24"/>
      <x:c r="M91" s="24"/>
      <x:c r="N91" s="22"/>
      <x:c r="O91" s="24"/>
      <x:c r="P91" s="22"/>
      <x:c r="Q91" s="28" t="str">
        <x:f>IF(C91="","",IF(N91&lt;&gt;"","CHIUSO",IF(H91&lt;&gt;"","APERTO","SEGNALE")))</x:f>
      </x:c>
      <x:c r="R91" s="30" t="str">
        <x:f>IF(OR(I91="",O91="",J91=""),"",((O91-I91)*J91))</x:f>
      </x:c>
      <x:c r="S91" s="32" t="str">
        <x:f>IF(OR(I91="",O91=""),"",(O91/I91)-1)</x:f>
      </x:c>
      <x:c r="T91" s="34" t="str">
        <x:f>IF(OR(I91="",O91="",K91="",I91=K91),"",(O91-I91)/(I91-K91))</x:f>
      </x:c>
      <x:c r="U91" s="26"/>
      <x:c r="V91" s="26"/>
      <x:c r="W91" s="24"/>
      <x:c r="X91" s="22"/>
    </x:row>
    <x:row r="92" ht="20" customHeight="1">
      <x:c r="A92" s="28" t="str">
        <x:f>IF(C92="","",ROW()-1)</x:f>
      </x:c>
      <x:c r="B92" s="22"/>
      <x:c r="C92" s="22"/>
      <x:c r="D92" s="22"/>
      <x:c r="E92" s="22"/>
      <x:c r="F92" s="22"/>
      <x:c r="G92" s="24"/>
      <x:c r="H92" s="22"/>
      <x:c r="I92" s="24"/>
      <x:c r="J92" s="26"/>
      <x:c r="K92" s="24"/>
      <x:c r="L92" s="24"/>
      <x:c r="M92" s="24"/>
      <x:c r="N92" s="22"/>
      <x:c r="O92" s="24"/>
      <x:c r="P92" s="22"/>
      <x:c r="Q92" s="28" t="str">
        <x:f>IF(C92="","",IF(N92&lt;&gt;"","CHIUSO",IF(H92&lt;&gt;"","APERTO","SEGNALE")))</x:f>
      </x:c>
      <x:c r="R92" s="30" t="str">
        <x:f>IF(OR(I92="",O92="",J92=""),"",((O92-I92)*J92))</x:f>
      </x:c>
      <x:c r="S92" s="32" t="str">
        <x:f>IF(OR(I92="",O92=""),"",(O92/I92)-1)</x:f>
      </x:c>
      <x:c r="T92" s="34" t="str">
        <x:f>IF(OR(I92="",O92="",K92="",I92=K92),"",(O92-I92)/(I92-K92))</x:f>
      </x:c>
      <x:c r="U92" s="26"/>
      <x:c r="V92" s="26"/>
      <x:c r="W92" s="24"/>
      <x:c r="X92" s="22"/>
    </x:row>
    <x:row r="93" ht="20" customHeight="1">
      <x:c r="A93" s="28" t="str">
        <x:f>IF(C93="","",ROW()-1)</x:f>
      </x:c>
      <x:c r="B93" s="22"/>
      <x:c r="C93" s="22"/>
      <x:c r="D93" s="22"/>
      <x:c r="E93" s="22"/>
      <x:c r="F93" s="22"/>
      <x:c r="G93" s="24"/>
      <x:c r="H93" s="22"/>
      <x:c r="I93" s="24"/>
      <x:c r="J93" s="26"/>
      <x:c r="K93" s="24"/>
      <x:c r="L93" s="24"/>
      <x:c r="M93" s="24"/>
      <x:c r="N93" s="22"/>
      <x:c r="O93" s="24"/>
      <x:c r="P93" s="22"/>
      <x:c r="Q93" s="28" t="str">
        <x:f>IF(C93="","",IF(N93&lt;&gt;"","CHIUSO",IF(H93&lt;&gt;"","APERTO","SEGNALE")))</x:f>
      </x:c>
      <x:c r="R93" s="30" t="str">
        <x:f>IF(OR(I93="",O93="",J93=""),"",((O93-I93)*J93))</x:f>
      </x:c>
      <x:c r="S93" s="32" t="str">
        <x:f>IF(OR(I93="",O93=""),"",(O93/I93)-1)</x:f>
      </x:c>
      <x:c r="T93" s="34" t="str">
        <x:f>IF(OR(I93="",O93="",K93="",I93=K93),"",(O93-I93)/(I93-K93))</x:f>
      </x:c>
      <x:c r="U93" s="26"/>
      <x:c r="V93" s="26"/>
      <x:c r="W93" s="24"/>
      <x:c r="X93" s="22"/>
    </x:row>
    <x:row r="94" ht="20" customHeight="1">
      <x:c r="A94" s="28" t="str">
        <x:f>IF(C94="","",ROW()-1)</x:f>
      </x:c>
      <x:c r="B94" s="22"/>
      <x:c r="C94" s="22"/>
      <x:c r="D94" s="22"/>
      <x:c r="E94" s="22"/>
      <x:c r="F94" s="22"/>
      <x:c r="G94" s="24"/>
      <x:c r="H94" s="22"/>
      <x:c r="I94" s="24"/>
      <x:c r="J94" s="26"/>
      <x:c r="K94" s="24"/>
      <x:c r="L94" s="24"/>
      <x:c r="M94" s="24"/>
      <x:c r="N94" s="22"/>
      <x:c r="O94" s="24"/>
      <x:c r="P94" s="22"/>
      <x:c r="Q94" s="28" t="str">
        <x:f>IF(C94="","",IF(N94&lt;&gt;"","CHIUSO",IF(H94&lt;&gt;"","APERTO","SEGNALE")))</x:f>
      </x:c>
      <x:c r="R94" s="30" t="str">
        <x:f>IF(OR(I94="",O94="",J94=""),"",((O94-I94)*J94))</x:f>
      </x:c>
      <x:c r="S94" s="32" t="str">
        <x:f>IF(OR(I94="",O94=""),"",(O94/I94)-1)</x:f>
      </x:c>
      <x:c r="T94" s="34" t="str">
        <x:f>IF(OR(I94="",O94="",K94="",I94=K94),"",(O94-I94)/(I94-K94))</x:f>
      </x:c>
      <x:c r="U94" s="26"/>
      <x:c r="V94" s="26"/>
      <x:c r="W94" s="24"/>
      <x:c r="X94" s="22"/>
    </x:row>
    <x:row r="95" ht="20" customHeight="1">
      <x:c r="A95" s="28" t="str">
        <x:f>IF(C95="","",ROW()-1)</x:f>
      </x:c>
      <x:c r="B95" s="22"/>
      <x:c r="C95" s="22"/>
      <x:c r="D95" s="22"/>
      <x:c r="E95" s="22"/>
      <x:c r="F95" s="22"/>
      <x:c r="G95" s="24"/>
      <x:c r="H95" s="22"/>
      <x:c r="I95" s="24"/>
      <x:c r="J95" s="26"/>
      <x:c r="K95" s="24"/>
      <x:c r="L95" s="24"/>
      <x:c r="M95" s="24"/>
      <x:c r="N95" s="22"/>
      <x:c r="O95" s="24"/>
      <x:c r="P95" s="22"/>
      <x:c r="Q95" s="28" t="str">
        <x:f>IF(C95="","",IF(N95&lt;&gt;"","CHIUSO",IF(H95&lt;&gt;"","APERTO","SEGNALE")))</x:f>
      </x:c>
      <x:c r="R95" s="30" t="str">
        <x:f>IF(OR(I95="",O95="",J95=""),"",((O95-I95)*J95))</x:f>
      </x:c>
      <x:c r="S95" s="32" t="str">
        <x:f>IF(OR(I95="",O95=""),"",(O95/I95)-1)</x:f>
      </x:c>
      <x:c r="T95" s="34" t="str">
        <x:f>IF(OR(I95="",O95="",K95="",I95=K95),"",(O95-I95)/(I95-K95))</x:f>
      </x:c>
      <x:c r="U95" s="26"/>
      <x:c r="V95" s="26"/>
      <x:c r="W95" s="24"/>
      <x:c r="X95" s="22"/>
    </x:row>
    <x:row r="96" ht="20" customHeight="1">
      <x:c r="A96" s="28" t="str">
        <x:f>IF(C96="","",ROW()-1)</x:f>
      </x:c>
      <x:c r="B96" s="22"/>
      <x:c r="C96" s="22"/>
      <x:c r="D96" s="22"/>
      <x:c r="E96" s="22"/>
      <x:c r="F96" s="22"/>
      <x:c r="G96" s="24"/>
      <x:c r="H96" s="22"/>
      <x:c r="I96" s="24"/>
      <x:c r="J96" s="26"/>
      <x:c r="K96" s="24"/>
      <x:c r="L96" s="24"/>
      <x:c r="M96" s="24"/>
      <x:c r="N96" s="22"/>
      <x:c r="O96" s="24"/>
      <x:c r="P96" s="22"/>
      <x:c r="Q96" s="28" t="str">
        <x:f>IF(C96="","",IF(N96&lt;&gt;"","CHIUSO",IF(H96&lt;&gt;"","APERTO","SEGNALE")))</x:f>
      </x:c>
      <x:c r="R96" s="30" t="str">
        <x:f>IF(OR(I96="",O96="",J96=""),"",((O96-I96)*J96))</x:f>
      </x:c>
      <x:c r="S96" s="32" t="str">
        <x:f>IF(OR(I96="",O96=""),"",(O96/I96)-1)</x:f>
      </x:c>
      <x:c r="T96" s="34" t="str">
        <x:f>IF(OR(I96="",O96="",K96="",I96=K96),"",(O96-I96)/(I96-K96))</x:f>
      </x:c>
      <x:c r="U96" s="26"/>
      <x:c r="V96" s="26"/>
      <x:c r="W96" s="24"/>
      <x:c r="X96" s="22"/>
    </x:row>
    <x:row r="97" ht="20" customHeight="1">
      <x:c r="A97" s="28" t="str">
        <x:f>IF(C97="","",ROW()-1)</x:f>
      </x:c>
      <x:c r="B97" s="22"/>
      <x:c r="C97" s="22"/>
      <x:c r="D97" s="22"/>
      <x:c r="E97" s="22"/>
      <x:c r="F97" s="22"/>
      <x:c r="G97" s="24"/>
      <x:c r="H97" s="22"/>
      <x:c r="I97" s="24"/>
      <x:c r="J97" s="26"/>
      <x:c r="K97" s="24"/>
      <x:c r="L97" s="24"/>
      <x:c r="M97" s="24"/>
      <x:c r="N97" s="22"/>
      <x:c r="O97" s="24"/>
      <x:c r="P97" s="22"/>
      <x:c r="Q97" s="28" t="str">
        <x:f>IF(C97="","",IF(N97&lt;&gt;"","CHIUSO",IF(H97&lt;&gt;"","APERTO","SEGNALE")))</x:f>
      </x:c>
      <x:c r="R97" s="30" t="str">
        <x:f>IF(OR(I97="",O97="",J97=""),"",((O97-I97)*J97))</x:f>
      </x:c>
      <x:c r="S97" s="32" t="str">
        <x:f>IF(OR(I97="",O97=""),"",(O97/I97)-1)</x:f>
      </x:c>
      <x:c r="T97" s="34" t="str">
        <x:f>IF(OR(I97="",O97="",K97="",I97=K97),"",(O97-I97)/(I97-K97))</x:f>
      </x:c>
      <x:c r="U97" s="26"/>
      <x:c r="V97" s="26"/>
      <x:c r="W97" s="24"/>
      <x:c r="X97" s="22"/>
    </x:row>
    <x:row r="98" ht="20" customHeight="1">
      <x:c r="A98" s="28" t="str">
        <x:f>IF(C98="","",ROW()-1)</x:f>
      </x:c>
      <x:c r="B98" s="22"/>
      <x:c r="C98" s="22"/>
      <x:c r="D98" s="22"/>
      <x:c r="E98" s="22"/>
      <x:c r="F98" s="22"/>
      <x:c r="G98" s="24"/>
      <x:c r="H98" s="22"/>
      <x:c r="I98" s="24"/>
      <x:c r="J98" s="26"/>
      <x:c r="K98" s="24"/>
      <x:c r="L98" s="24"/>
      <x:c r="M98" s="24"/>
      <x:c r="N98" s="22"/>
      <x:c r="O98" s="24"/>
      <x:c r="P98" s="22"/>
      <x:c r="Q98" s="28" t="str">
        <x:f>IF(C98="","",IF(N98&lt;&gt;"","CHIUSO",IF(H98&lt;&gt;"","APERTO","SEGNALE")))</x:f>
      </x:c>
      <x:c r="R98" s="30" t="str">
        <x:f>IF(OR(I98="",O98="",J98=""),"",((O98-I98)*J98))</x:f>
      </x:c>
      <x:c r="S98" s="32" t="str">
        <x:f>IF(OR(I98="",O98=""),"",(O98/I98)-1)</x:f>
      </x:c>
      <x:c r="T98" s="34" t="str">
        <x:f>IF(OR(I98="",O98="",K98="",I98=K98),"",(O98-I98)/(I98-K98))</x:f>
      </x:c>
      <x:c r="U98" s="26"/>
      <x:c r="V98" s="26"/>
      <x:c r="W98" s="24"/>
      <x:c r="X98" s="22"/>
    </x:row>
    <x:row r="99" ht="20" customHeight="1">
      <x:c r="A99" s="28" t="str">
        <x:f>IF(C99="","",ROW()-1)</x:f>
      </x:c>
      <x:c r="B99" s="22"/>
      <x:c r="C99" s="22"/>
      <x:c r="D99" s="22"/>
      <x:c r="E99" s="22"/>
      <x:c r="F99" s="22"/>
      <x:c r="G99" s="24"/>
      <x:c r="H99" s="22"/>
      <x:c r="I99" s="24"/>
      <x:c r="J99" s="26"/>
      <x:c r="K99" s="24"/>
      <x:c r="L99" s="24"/>
      <x:c r="M99" s="24"/>
      <x:c r="N99" s="22"/>
      <x:c r="O99" s="24"/>
      <x:c r="P99" s="22"/>
      <x:c r="Q99" s="28" t="str">
        <x:f>IF(C99="","",IF(N99&lt;&gt;"","CHIUSO",IF(H99&lt;&gt;"","APERTO","SEGNALE")))</x:f>
      </x:c>
      <x:c r="R99" s="30" t="str">
        <x:f>IF(OR(I99="",O99="",J99=""),"",((O99-I99)*J99))</x:f>
      </x:c>
      <x:c r="S99" s="32" t="str">
        <x:f>IF(OR(I99="",O99=""),"",(O99/I99)-1)</x:f>
      </x:c>
      <x:c r="T99" s="34" t="str">
        <x:f>IF(OR(I99="",O99="",K99="",I99=K99),"",(O99-I99)/(I99-K99))</x:f>
      </x:c>
      <x:c r="U99" s="26"/>
      <x:c r="V99" s="26"/>
      <x:c r="W99" s="24"/>
      <x:c r="X99" s="22"/>
    </x:row>
    <x:row r="100" ht="20" customHeight="1">
      <x:c r="A100" s="28" t="str">
        <x:f>IF(C100="","",ROW()-1)</x:f>
      </x:c>
      <x:c r="B100" s="22"/>
      <x:c r="C100" s="22"/>
      <x:c r="D100" s="22"/>
      <x:c r="E100" s="22"/>
      <x:c r="F100" s="22"/>
      <x:c r="G100" s="24"/>
      <x:c r="H100" s="22"/>
      <x:c r="I100" s="24"/>
      <x:c r="J100" s="26"/>
      <x:c r="K100" s="24"/>
      <x:c r="L100" s="24"/>
      <x:c r="M100" s="24"/>
      <x:c r="N100" s="22"/>
      <x:c r="O100" s="24"/>
      <x:c r="P100" s="22"/>
      <x:c r="Q100" s="28" t="str">
        <x:f>IF(C100="","",IF(N100&lt;&gt;"","CHIUSO",IF(H100&lt;&gt;"","APERTO","SEGNALE")))</x:f>
      </x:c>
      <x:c r="R100" s="30" t="str">
        <x:f>IF(OR(I100="",O100="",J100=""),"",((O100-I100)*J100))</x:f>
      </x:c>
      <x:c r="S100" s="32" t="str">
        <x:f>IF(OR(I100="",O100=""),"",(O100/I100)-1)</x:f>
      </x:c>
      <x:c r="T100" s="34" t="str">
        <x:f>IF(OR(I100="",O100="",K100="",I100=K100),"",(O100-I100)/(I100-K100))</x:f>
      </x:c>
      <x:c r="U100" s="26"/>
      <x:c r="V100" s="26"/>
      <x:c r="W100" s="24"/>
      <x:c r="X100" s="22"/>
    </x:row>
    <x:row r="101" ht="20" customHeight="1">
      <x:c r="A101" s="28" t="str">
        <x:f>IF(C101="","",ROW()-1)</x:f>
      </x:c>
      <x:c r="B101" s="22"/>
      <x:c r="C101" s="22"/>
      <x:c r="D101" s="22"/>
      <x:c r="E101" s="22"/>
      <x:c r="F101" s="22"/>
      <x:c r="G101" s="24"/>
      <x:c r="H101" s="22"/>
      <x:c r="I101" s="24"/>
      <x:c r="J101" s="26"/>
      <x:c r="K101" s="24"/>
      <x:c r="L101" s="24"/>
      <x:c r="M101" s="24"/>
      <x:c r="N101" s="22"/>
      <x:c r="O101" s="24"/>
      <x:c r="P101" s="22"/>
      <x:c r="Q101" s="28" t="str">
        <x:f>IF(C101="","",IF(N101&lt;&gt;"","CHIUSO",IF(H101&lt;&gt;"","APERTO","SEGNALE")))</x:f>
      </x:c>
      <x:c r="R101" s="30" t="str">
        <x:f>IF(OR(I101="",O101="",J101=""),"",((O101-I101)*J101))</x:f>
      </x:c>
      <x:c r="S101" s="32" t="str">
        <x:f>IF(OR(I101="",O101=""),"",(O101/I101)-1)</x:f>
      </x:c>
      <x:c r="T101" s="34" t="str">
        <x:f>IF(OR(I101="",O101="",K101="",I101=K101),"",(O101-I101)/(I101-K101))</x:f>
      </x:c>
      <x:c r="U101" s="26"/>
      <x:c r="V101" s="26"/>
      <x:c r="W101" s="24"/>
      <x:c r="X101" s="22"/>
    </x:row>
    <x:row r="102" ht="20" customHeight="1">
      <x:c r="A102" s="28" t="str">
        <x:f>IF(C102="","",ROW()-1)</x:f>
      </x:c>
      <x:c r="B102" s="22"/>
      <x:c r="C102" s="22"/>
      <x:c r="D102" s="22"/>
      <x:c r="E102" s="22"/>
      <x:c r="F102" s="22"/>
      <x:c r="G102" s="24"/>
      <x:c r="H102" s="22"/>
      <x:c r="I102" s="24"/>
      <x:c r="J102" s="26"/>
      <x:c r="K102" s="24"/>
      <x:c r="L102" s="24"/>
      <x:c r="M102" s="24"/>
      <x:c r="N102" s="22"/>
      <x:c r="O102" s="24"/>
      <x:c r="P102" s="22"/>
      <x:c r="Q102" s="28" t="str">
        <x:f>IF(C102="","",IF(N102&lt;&gt;"","CHIUSO",IF(H102&lt;&gt;"","APERTO","SEGNALE")))</x:f>
      </x:c>
      <x:c r="R102" s="30" t="str">
        <x:f>IF(OR(I102="",O102="",J102=""),"",((O102-I102)*J102))</x:f>
      </x:c>
      <x:c r="S102" s="32" t="str">
        <x:f>IF(OR(I102="",O102=""),"",(O102/I102)-1)</x:f>
      </x:c>
      <x:c r="T102" s="34" t="str">
        <x:f>IF(OR(I102="",O102="",K102="",I102=K102),"",(O102-I102)/(I102-K102))</x:f>
      </x:c>
      <x:c r="U102" s="26"/>
      <x:c r="V102" s="26"/>
      <x:c r="W102" s="24"/>
      <x:c r="X102" s="22"/>
    </x:row>
    <x:row r="103" ht="20" customHeight="1">
      <x:c r="A103" s="28" t="str">
        <x:f>IF(C103="","",ROW()-1)</x:f>
      </x:c>
      <x:c r="B103" s="22"/>
      <x:c r="C103" s="22"/>
      <x:c r="D103" s="22"/>
      <x:c r="E103" s="22"/>
      <x:c r="F103" s="22"/>
      <x:c r="G103" s="24"/>
      <x:c r="H103" s="22"/>
      <x:c r="I103" s="24"/>
      <x:c r="J103" s="26"/>
      <x:c r="K103" s="24"/>
      <x:c r="L103" s="24"/>
      <x:c r="M103" s="24"/>
      <x:c r="N103" s="22"/>
      <x:c r="O103" s="24"/>
      <x:c r="P103" s="22"/>
      <x:c r="Q103" s="28" t="str">
        <x:f>IF(C103="","",IF(N103&lt;&gt;"","CHIUSO",IF(H103&lt;&gt;"","APERTO","SEGNALE")))</x:f>
      </x:c>
      <x:c r="R103" s="30" t="str">
        <x:f>IF(OR(I103="",O103="",J103=""),"",((O103-I103)*J103))</x:f>
      </x:c>
      <x:c r="S103" s="32" t="str">
        <x:f>IF(OR(I103="",O103=""),"",(O103/I103)-1)</x:f>
      </x:c>
      <x:c r="T103" s="34" t="str">
        <x:f>IF(OR(I103="",O103="",K103="",I103=K103),"",(O103-I103)/(I103-K103))</x:f>
      </x:c>
      <x:c r="U103" s="26"/>
      <x:c r="V103" s="26"/>
      <x:c r="W103" s="24"/>
      <x:c r="X103" s="22"/>
    </x:row>
    <x:row r="104" ht="20" customHeight="1">
      <x:c r="A104" s="28" t="str">
        <x:f>IF(C104="","",ROW()-1)</x:f>
      </x:c>
      <x:c r="B104" s="22"/>
      <x:c r="C104" s="22"/>
      <x:c r="D104" s="22"/>
      <x:c r="E104" s="22"/>
      <x:c r="F104" s="22"/>
      <x:c r="G104" s="24"/>
      <x:c r="H104" s="22"/>
      <x:c r="I104" s="24"/>
      <x:c r="J104" s="26"/>
      <x:c r="K104" s="24"/>
      <x:c r="L104" s="24"/>
      <x:c r="M104" s="24"/>
      <x:c r="N104" s="22"/>
      <x:c r="O104" s="24"/>
      <x:c r="P104" s="22"/>
      <x:c r="Q104" s="28" t="str">
        <x:f>IF(C104="","",IF(N104&lt;&gt;"","CHIUSO",IF(H104&lt;&gt;"","APERTO","SEGNALE")))</x:f>
      </x:c>
      <x:c r="R104" s="30" t="str">
        <x:f>IF(OR(I104="",O104="",J104=""),"",((O104-I104)*J104))</x:f>
      </x:c>
      <x:c r="S104" s="32" t="str">
        <x:f>IF(OR(I104="",O104=""),"",(O104/I104)-1)</x:f>
      </x:c>
      <x:c r="T104" s="34" t="str">
        <x:f>IF(OR(I104="",O104="",K104="",I104=K104),"",(O104-I104)/(I104-K104))</x:f>
      </x:c>
      <x:c r="U104" s="26"/>
      <x:c r="V104" s="26"/>
      <x:c r="W104" s="24"/>
      <x:c r="X104" s="22"/>
    </x:row>
    <x:row r="105" ht="20" customHeight="1">
      <x:c r="A105" s="28" t="str">
        <x:f>IF(C105="","",ROW()-1)</x:f>
      </x:c>
      <x:c r="B105" s="22"/>
      <x:c r="C105" s="22"/>
      <x:c r="D105" s="22"/>
      <x:c r="E105" s="22"/>
      <x:c r="F105" s="22"/>
      <x:c r="G105" s="24"/>
      <x:c r="H105" s="22"/>
      <x:c r="I105" s="24"/>
      <x:c r="J105" s="26"/>
      <x:c r="K105" s="24"/>
      <x:c r="L105" s="24"/>
      <x:c r="M105" s="24"/>
      <x:c r="N105" s="22"/>
      <x:c r="O105" s="24"/>
      <x:c r="P105" s="22"/>
      <x:c r="Q105" s="28" t="str">
        <x:f>IF(C105="","",IF(N105&lt;&gt;"","CHIUSO",IF(H105&lt;&gt;"","APERTO","SEGNALE")))</x:f>
      </x:c>
      <x:c r="R105" s="30" t="str">
        <x:f>IF(OR(I105="",O105="",J105=""),"",((O105-I105)*J105))</x:f>
      </x:c>
      <x:c r="S105" s="32" t="str">
        <x:f>IF(OR(I105="",O105=""),"",(O105/I105)-1)</x:f>
      </x:c>
      <x:c r="T105" s="34" t="str">
        <x:f>IF(OR(I105="",O105="",K105="",I105=K105),"",(O105-I105)/(I105-K105))</x:f>
      </x:c>
      <x:c r="U105" s="26"/>
      <x:c r="V105" s="26"/>
      <x:c r="W105" s="24"/>
      <x:c r="X105" s="22"/>
    </x:row>
    <x:row r="106" ht="20" customHeight="1">
      <x:c r="A106" s="28" t="str">
        <x:f>IF(C106="","",ROW()-1)</x:f>
      </x:c>
      <x:c r="B106" s="22"/>
      <x:c r="C106" s="22"/>
      <x:c r="D106" s="22"/>
      <x:c r="E106" s="22"/>
      <x:c r="F106" s="22"/>
      <x:c r="G106" s="24"/>
      <x:c r="H106" s="22"/>
      <x:c r="I106" s="24"/>
      <x:c r="J106" s="26"/>
      <x:c r="K106" s="24"/>
      <x:c r="L106" s="24"/>
      <x:c r="M106" s="24"/>
      <x:c r="N106" s="22"/>
      <x:c r="O106" s="24"/>
      <x:c r="P106" s="22"/>
      <x:c r="Q106" s="28" t="str">
        <x:f>IF(C106="","",IF(N106&lt;&gt;"","CHIUSO",IF(H106&lt;&gt;"","APERTO","SEGNALE")))</x:f>
      </x:c>
      <x:c r="R106" s="30" t="str">
        <x:f>IF(OR(I106="",O106="",J106=""),"",((O106-I106)*J106))</x:f>
      </x:c>
      <x:c r="S106" s="32" t="str">
        <x:f>IF(OR(I106="",O106=""),"",(O106/I106)-1)</x:f>
      </x:c>
      <x:c r="T106" s="34" t="str">
        <x:f>IF(OR(I106="",O106="",K106="",I106=K106),"",(O106-I106)/(I106-K106))</x:f>
      </x:c>
      <x:c r="U106" s="26"/>
      <x:c r="V106" s="26"/>
      <x:c r="W106" s="24"/>
      <x:c r="X106" s="22"/>
    </x:row>
    <x:row r="107" ht="20" customHeight="1">
      <x:c r="A107" s="28" t="str">
        <x:f>IF(C107="","",ROW()-1)</x:f>
      </x:c>
      <x:c r="B107" s="22"/>
      <x:c r="C107" s="22"/>
      <x:c r="D107" s="22"/>
      <x:c r="E107" s="22"/>
      <x:c r="F107" s="22"/>
      <x:c r="G107" s="24"/>
      <x:c r="H107" s="22"/>
      <x:c r="I107" s="24"/>
      <x:c r="J107" s="26"/>
      <x:c r="K107" s="24"/>
      <x:c r="L107" s="24"/>
      <x:c r="M107" s="24"/>
      <x:c r="N107" s="22"/>
      <x:c r="O107" s="24"/>
      <x:c r="P107" s="22"/>
      <x:c r="Q107" s="28" t="str">
        <x:f>IF(C107="","",IF(N107&lt;&gt;"","CHIUSO",IF(H107&lt;&gt;"","APERTO","SEGNALE")))</x:f>
      </x:c>
      <x:c r="R107" s="30" t="str">
        <x:f>IF(OR(I107="",O107="",J107=""),"",((O107-I107)*J107))</x:f>
      </x:c>
      <x:c r="S107" s="32" t="str">
        <x:f>IF(OR(I107="",O107=""),"",(O107/I107)-1)</x:f>
      </x:c>
      <x:c r="T107" s="34" t="str">
        <x:f>IF(OR(I107="",O107="",K107="",I107=K107),"",(O107-I107)/(I107-K107))</x:f>
      </x:c>
      <x:c r="U107" s="26"/>
      <x:c r="V107" s="26"/>
      <x:c r="W107" s="24"/>
      <x:c r="X107" s="22"/>
    </x:row>
    <x:row r="108" ht="20" customHeight="1">
      <x:c r="A108" s="28" t="str">
        <x:f>IF(C108="","",ROW()-1)</x:f>
      </x:c>
      <x:c r="B108" s="22"/>
      <x:c r="C108" s="22"/>
      <x:c r="D108" s="22"/>
      <x:c r="E108" s="22"/>
      <x:c r="F108" s="22"/>
      <x:c r="G108" s="24"/>
      <x:c r="H108" s="22"/>
      <x:c r="I108" s="24"/>
      <x:c r="J108" s="26"/>
      <x:c r="K108" s="24"/>
      <x:c r="L108" s="24"/>
      <x:c r="M108" s="24"/>
      <x:c r="N108" s="22"/>
      <x:c r="O108" s="24"/>
      <x:c r="P108" s="22"/>
      <x:c r="Q108" s="28" t="str">
        <x:f>IF(C108="","",IF(N108&lt;&gt;"","CHIUSO",IF(H108&lt;&gt;"","APERTO","SEGNALE")))</x:f>
      </x:c>
      <x:c r="R108" s="30" t="str">
        <x:f>IF(OR(I108="",O108="",J108=""),"",((O108-I108)*J108))</x:f>
      </x:c>
      <x:c r="S108" s="32" t="str">
        <x:f>IF(OR(I108="",O108=""),"",(O108/I108)-1)</x:f>
      </x:c>
      <x:c r="T108" s="34" t="str">
        <x:f>IF(OR(I108="",O108="",K108="",I108=K108),"",(O108-I108)/(I108-K108))</x:f>
      </x:c>
      <x:c r="U108" s="26"/>
      <x:c r="V108" s="26"/>
      <x:c r="W108" s="24"/>
      <x:c r="X108" s="22"/>
    </x:row>
    <x:row r="109" ht="20" customHeight="1">
      <x:c r="A109" s="28" t="str">
        <x:f>IF(C109="","",ROW()-1)</x:f>
      </x:c>
      <x:c r="B109" s="22"/>
      <x:c r="C109" s="22"/>
      <x:c r="D109" s="22"/>
      <x:c r="E109" s="22"/>
      <x:c r="F109" s="22"/>
      <x:c r="G109" s="24"/>
      <x:c r="H109" s="22"/>
      <x:c r="I109" s="24"/>
      <x:c r="J109" s="26"/>
      <x:c r="K109" s="24"/>
      <x:c r="L109" s="24"/>
      <x:c r="M109" s="24"/>
      <x:c r="N109" s="22"/>
      <x:c r="O109" s="24"/>
      <x:c r="P109" s="22"/>
      <x:c r="Q109" s="28" t="str">
        <x:f>IF(C109="","",IF(N109&lt;&gt;"","CHIUSO",IF(H109&lt;&gt;"","APERTO","SEGNALE")))</x:f>
      </x:c>
      <x:c r="R109" s="30" t="str">
        <x:f>IF(OR(I109="",O109="",J109=""),"",((O109-I109)*J109))</x:f>
      </x:c>
      <x:c r="S109" s="32" t="str">
        <x:f>IF(OR(I109="",O109=""),"",(O109/I109)-1)</x:f>
      </x:c>
      <x:c r="T109" s="34" t="str">
        <x:f>IF(OR(I109="",O109="",K109="",I109=K109),"",(O109-I109)/(I109-K109))</x:f>
      </x:c>
      <x:c r="U109" s="26"/>
      <x:c r="V109" s="26"/>
      <x:c r="W109" s="24"/>
      <x:c r="X109" s="22"/>
    </x:row>
    <x:row r="110" ht="20" customHeight="1">
      <x:c r="A110" s="28" t="str">
        <x:f>IF(C110="","",ROW()-1)</x:f>
      </x:c>
      <x:c r="B110" s="22"/>
      <x:c r="C110" s="22"/>
      <x:c r="D110" s="22"/>
      <x:c r="E110" s="22"/>
      <x:c r="F110" s="22"/>
      <x:c r="G110" s="24"/>
      <x:c r="H110" s="22"/>
      <x:c r="I110" s="24"/>
      <x:c r="J110" s="26"/>
      <x:c r="K110" s="24"/>
      <x:c r="L110" s="24"/>
      <x:c r="M110" s="24"/>
      <x:c r="N110" s="22"/>
      <x:c r="O110" s="24"/>
      <x:c r="P110" s="22"/>
      <x:c r="Q110" s="28" t="str">
        <x:f>IF(C110="","",IF(N110&lt;&gt;"","CHIUSO",IF(H110&lt;&gt;"","APERTO","SEGNALE")))</x:f>
      </x:c>
      <x:c r="R110" s="30" t="str">
        <x:f>IF(OR(I110="",O110="",J110=""),"",((O110-I110)*J110))</x:f>
      </x:c>
      <x:c r="S110" s="32" t="str">
        <x:f>IF(OR(I110="",O110=""),"",(O110/I110)-1)</x:f>
      </x:c>
      <x:c r="T110" s="34" t="str">
        <x:f>IF(OR(I110="",O110="",K110="",I110=K110),"",(O110-I110)/(I110-K110))</x:f>
      </x:c>
      <x:c r="U110" s="26"/>
      <x:c r="V110" s="26"/>
      <x:c r="W110" s="24"/>
      <x:c r="X110" s="22"/>
    </x:row>
    <x:row r="111" ht="20" customHeight="1">
      <x:c r="A111" s="28" t="str">
        <x:f>IF(C111="","",ROW()-1)</x:f>
      </x:c>
      <x:c r="B111" s="22"/>
      <x:c r="C111" s="22"/>
      <x:c r="D111" s="22"/>
      <x:c r="E111" s="22"/>
      <x:c r="F111" s="22"/>
      <x:c r="G111" s="24"/>
      <x:c r="H111" s="22"/>
      <x:c r="I111" s="24"/>
      <x:c r="J111" s="26"/>
      <x:c r="K111" s="24"/>
      <x:c r="L111" s="24"/>
      <x:c r="M111" s="24"/>
      <x:c r="N111" s="22"/>
      <x:c r="O111" s="24"/>
      <x:c r="P111" s="22"/>
      <x:c r="Q111" s="28" t="str">
        <x:f>IF(C111="","",IF(N111&lt;&gt;"","CHIUSO",IF(H111&lt;&gt;"","APERTO","SEGNALE")))</x:f>
      </x:c>
      <x:c r="R111" s="30" t="str">
        <x:f>IF(OR(I111="",O111="",J111=""),"",((O111-I111)*J111))</x:f>
      </x:c>
      <x:c r="S111" s="32" t="str">
        <x:f>IF(OR(I111="",O111=""),"",(O111/I111)-1)</x:f>
      </x:c>
      <x:c r="T111" s="34" t="str">
        <x:f>IF(OR(I111="",O111="",K111="",I111=K111),"",(O111-I111)/(I111-K111))</x:f>
      </x:c>
      <x:c r="U111" s="26"/>
      <x:c r="V111" s="26"/>
      <x:c r="W111" s="24"/>
      <x:c r="X111" s="22"/>
    </x:row>
    <x:row r="112" ht="20" customHeight="1">
      <x:c r="A112" s="28" t="str">
        <x:f>IF(C112="","",ROW()-1)</x:f>
      </x:c>
      <x:c r="B112" s="22"/>
      <x:c r="C112" s="22"/>
      <x:c r="D112" s="22"/>
      <x:c r="E112" s="22"/>
      <x:c r="F112" s="22"/>
      <x:c r="G112" s="24"/>
      <x:c r="H112" s="22"/>
      <x:c r="I112" s="24"/>
      <x:c r="J112" s="26"/>
      <x:c r="K112" s="24"/>
      <x:c r="L112" s="24"/>
      <x:c r="M112" s="24"/>
      <x:c r="N112" s="22"/>
      <x:c r="O112" s="24"/>
      <x:c r="P112" s="22"/>
      <x:c r="Q112" s="28" t="str">
        <x:f>IF(C112="","",IF(N112&lt;&gt;"","CHIUSO",IF(H112&lt;&gt;"","APERTO","SEGNALE")))</x:f>
      </x:c>
      <x:c r="R112" s="30" t="str">
        <x:f>IF(OR(I112="",O112="",J112=""),"",((O112-I112)*J112))</x:f>
      </x:c>
      <x:c r="S112" s="32" t="str">
        <x:f>IF(OR(I112="",O112=""),"",(O112/I112)-1)</x:f>
      </x:c>
      <x:c r="T112" s="34" t="str">
        <x:f>IF(OR(I112="",O112="",K112="",I112=K112),"",(O112-I112)/(I112-K112))</x:f>
      </x:c>
      <x:c r="U112" s="26"/>
      <x:c r="V112" s="26"/>
      <x:c r="W112" s="24"/>
      <x:c r="X112" s="22"/>
    </x:row>
    <x:row r="113" ht="20" customHeight="1">
      <x:c r="A113" s="28" t="str">
        <x:f>IF(C113="","",ROW()-1)</x:f>
      </x:c>
      <x:c r="B113" s="22"/>
      <x:c r="C113" s="22"/>
      <x:c r="D113" s="22"/>
      <x:c r="E113" s="22"/>
      <x:c r="F113" s="22"/>
      <x:c r="G113" s="24"/>
      <x:c r="H113" s="22"/>
      <x:c r="I113" s="24"/>
      <x:c r="J113" s="26"/>
      <x:c r="K113" s="24"/>
      <x:c r="L113" s="24"/>
      <x:c r="M113" s="24"/>
      <x:c r="N113" s="22"/>
      <x:c r="O113" s="24"/>
      <x:c r="P113" s="22"/>
      <x:c r="Q113" s="28" t="str">
        <x:f>IF(C113="","",IF(N113&lt;&gt;"","CHIUSO",IF(H113&lt;&gt;"","APERTO","SEGNALE")))</x:f>
      </x:c>
      <x:c r="R113" s="30" t="str">
        <x:f>IF(OR(I113="",O113="",J113=""),"",((O113-I113)*J113))</x:f>
      </x:c>
      <x:c r="S113" s="32" t="str">
        <x:f>IF(OR(I113="",O113=""),"",(O113/I113)-1)</x:f>
      </x:c>
      <x:c r="T113" s="34" t="str">
        <x:f>IF(OR(I113="",O113="",K113="",I113=K113),"",(O113-I113)/(I113-K113))</x:f>
      </x:c>
      <x:c r="U113" s="26"/>
      <x:c r="V113" s="26"/>
      <x:c r="W113" s="24"/>
      <x:c r="X113" s="22"/>
    </x:row>
    <x:row r="114" ht="20" customHeight="1">
      <x:c r="A114" s="28" t="str">
        <x:f>IF(C114="","",ROW()-1)</x:f>
      </x:c>
      <x:c r="B114" s="22"/>
      <x:c r="C114" s="22"/>
      <x:c r="D114" s="22"/>
      <x:c r="E114" s="22"/>
      <x:c r="F114" s="22"/>
      <x:c r="G114" s="24"/>
      <x:c r="H114" s="22"/>
      <x:c r="I114" s="24"/>
      <x:c r="J114" s="26"/>
      <x:c r="K114" s="24"/>
      <x:c r="L114" s="24"/>
      <x:c r="M114" s="24"/>
      <x:c r="N114" s="22"/>
      <x:c r="O114" s="24"/>
      <x:c r="P114" s="22"/>
      <x:c r="Q114" s="28" t="str">
        <x:f>IF(C114="","",IF(N114&lt;&gt;"","CHIUSO",IF(H114&lt;&gt;"","APERTO","SEGNALE")))</x:f>
      </x:c>
      <x:c r="R114" s="30" t="str">
        <x:f>IF(OR(I114="",O114="",J114=""),"",((O114-I114)*J114))</x:f>
      </x:c>
      <x:c r="S114" s="32" t="str">
        <x:f>IF(OR(I114="",O114=""),"",(O114/I114)-1)</x:f>
      </x:c>
      <x:c r="T114" s="34" t="str">
        <x:f>IF(OR(I114="",O114="",K114="",I114=K114),"",(O114-I114)/(I114-K114))</x:f>
      </x:c>
      <x:c r="U114" s="26"/>
      <x:c r="V114" s="26"/>
      <x:c r="W114" s="24"/>
      <x:c r="X114" s="22"/>
    </x:row>
    <x:row r="115" ht="20" customHeight="1">
      <x:c r="A115" s="28" t="str">
        <x:f>IF(C115="","",ROW()-1)</x:f>
      </x:c>
      <x:c r="B115" s="22"/>
      <x:c r="C115" s="22"/>
      <x:c r="D115" s="22"/>
      <x:c r="E115" s="22"/>
      <x:c r="F115" s="22"/>
      <x:c r="G115" s="24"/>
      <x:c r="H115" s="22"/>
      <x:c r="I115" s="24"/>
      <x:c r="J115" s="26"/>
      <x:c r="K115" s="24"/>
      <x:c r="L115" s="24"/>
      <x:c r="M115" s="24"/>
      <x:c r="N115" s="22"/>
      <x:c r="O115" s="24"/>
      <x:c r="P115" s="22"/>
      <x:c r="Q115" s="28" t="str">
        <x:f>IF(C115="","",IF(N115&lt;&gt;"","CHIUSO",IF(H115&lt;&gt;"","APERTO","SEGNALE")))</x:f>
      </x:c>
      <x:c r="R115" s="30" t="str">
        <x:f>IF(OR(I115="",O115="",J115=""),"",((O115-I115)*J115))</x:f>
      </x:c>
      <x:c r="S115" s="32" t="str">
        <x:f>IF(OR(I115="",O115=""),"",(O115/I115)-1)</x:f>
      </x:c>
      <x:c r="T115" s="34" t="str">
        <x:f>IF(OR(I115="",O115="",K115="",I115=K115),"",(O115-I115)/(I115-K115))</x:f>
      </x:c>
      <x:c r="U115" s="26"/>
      <x:c r="V115" s="26"/>
      <x:c r="W115" s="24"/>
      <x:c r="X115" s="22"/>
    </x:row>
    <x:row r="116" ht="20" customHeight="1">
      <x:c r="A116" s="28" t="str">
        <x:f>IF(C116="","",ROW()-1)</x:f>
      </x:c>
      <x:c r="B116" s="22"/>
      <x:c r="C116" s="22"/>
      <x:c r="D116" s="22"/>
      <x:c r="E116" s="22"/>
      <x:c r="F116" s="22"/>
      <x:c r="G116" s="24"/>
      <x:c r="H116" s="22"/>
      <x:c r="I116" s="24"/>
      <x:c r="J116" s="26"/>
      <x:c r="K116" s="24"/>
      <x:c r="L116" s="24"/>
      <x:c r="M116" s="24"/>
      <x:c r="N116" s="22"/>
      <x:c r="O116" s="24"/>
      <x:c r="P116" s="22"/>
      <x:c r="Q116" s="28" t="str">
        <x:f>IF(C116="","",IF(N116&lt;&gt;"","CHIUSO",IF(H116&lt;&gt;"","APERTO","SEGNALE")))</x:f>
      </x:c>
      <x:c r="R116" s="30" t="str">
        <x:f>IF(OR(I116="",O116="",J116=""),"",((O116-I116)*J116))</x:f>
      </x:c>
      <x:c r="S116" s="32" t="str">
        <x:f>IF(OR(I116="",O116=""),"",(O116/I116)-1)</x:f>
      </x:c>
      <x:c r="T116" s="34" t="str">
        <x:f>IF(OR(I116="",O116="",K116="",I116=K116),"",(O116-I116)/(I116-K116))</x:f>
      </x:c>
      <x:c r="U116" s="26"/>
      <x:c r="V116" s="26"/>
      <x:c r="W116" s="24"/>
      <x:c r="X116" s="22"/>
    </x:row>
    <x:row r="117" ht="20" customHeight="1">
      <x:c r="A117" s="28" t="str">
        <x:f>IF(C117="","",ROW()-1)</x:f>
      </x:c>
      <x:c r="B117" s="22"/>
      <x:c r="C117" s="22"/>
      <x:c r="D117" s="22"/>
      <x:c r="E117" s="22"/>
      <x:c r="F117" s="22"/>
      <x:c r="G117" s="24"/>
      <x:c r="H117" s="22"/>
      <x:c r="I117" s="24"/>
      <x:c r="J117" s="26"/>
      <x:c r="K117" s="24"/>
      <x:c r="L117" s="24"/>
      <x:c r="M117" s="24"/>
      <x:c r="N117" s="22"/>
      <x:c r="O117" s="24"/>
      <x:c r="P117" s="22"/>
      <x:c r="Q117" s="28" t="str">
        <x:f>IF(C117="","",IF(N117&lt;&gt;"","CHIUSO",IF(H117&lt;&gt;"","APERTO","SEGNALE")))</x:f>
      </x:c>
      <x:c r="R117" s="30" t="str">
        <x:f>IF(OR(I117="",O117="",J117=""),"",((O117-I117)*J117))</x:f>
      </x:c>
      <x:c r="S117" s="32" t="str">
        <x:f>IF(OR(I117="",O117=""),"",(O117/I117)-1)</x:f>
      </x:c>
      <x:c r="T117" s="34" t="str">
        <x:f>IF(OR(I117="",O117="",K117="",I117=K117),"",(O117-I117)/(I117-K117))</x:f>
      </x:c>
      <x:c r="U117" s="26"/>
      <x:c r="V117" s="26"/>
      <x:c r="W117" s="24"/>
      <x:c r="X117" s="22"/>
    </x:row>
    <x:row r="118" ht="20" customHeight="1">
      <x:c r="A118" s="28" t="str">
        <x:f>IF(C118="","",ROW()-1)</x:f>
      </x:c>
      <x:c r="B118" s="22"/>
      <x:c r="C118" s="22"/>
      <x:c r="D118" s="22"/>
      <x:c r="E118" s="22"/>
      <x:c r="F118" s="22"/>
      <x:c r="G118" s="24"/>
      <x:c r="H118" s="22"/>
      <x:c r="I118" s="24"/>
      <x:c r="J118" s="26"/>
      <x:c r="K118" s="24"/>
      <x:c r="L118" s="24"/>
      <x:c r="M118" s="24"/>
      <x:c r="N118" s="22"/>
      <x:c r="O118" s="24"/>
      <x:c r="P118" s="22"/>
      <x:c r="Q118" s="28" t="str">
        <x:f>IF(C118="","",IF(N118&lt;&gt;"","CHIUSO",IF(H118&lt;&gt;"","APERTO","SEGNALE")))</x:f>
      </x:c>
      <x:c r="R118" s="30" t="str">
        <x:f>IF(OR(I118="",O118="",J118=""),"",((O118-I118)*J118))</x:f>
      </x:c>
      <x:c r="S118" s="32" t="str">
        <x:f>IF(OR(I118="",O118=""),"",(O118/I118)-1)</x:f>
      </x:c>
      <x:c r="T118" s="34" t="str">
        <x:f>IF(OR(I118="",O118="",K118="",I118=K118),"",(O118-I118)/(I118-K118))</x:f>
      </x:c>
      <x:c r="U118" s="26"/>
      <x:c r="V118" s="26"/>
      <x:c r="W118" s="24"/>
      <x:c r="X118" s="22"/>
    </x:row>
    <x:row r="119" ht="20" customHeight="1">
      <x:c r="A119" s="28" t="str">
        <x:f>IF(C119="","",ROW()-1)</x:f>
      </x:c>
      <x:c r="B119" s="22"/>
      <x:c r="C119" s="22"/>
      <x:c r="D119" s="22"/>
      <x:c r="E119" s="22"/>
      <x:c r="F119" s="22"/>
      <x:c r="G119" s="24"/>
      <x:c r="H119" s="22"/>
      <x:c r="I119" s="24"/>
      <x:c r="J119" s="26"/>
      <x:c r="K119" s="24"/>
      <x:c r="L119" s="24"/>
      <x:c r="M119" s="24"/>
      <x:c r="N119" s="22"/>
      <x:c r="O119" s="24"/>
      <x:c r="P119" s="22"/>
      <x:c r="Q119" s="28" t="str">
        <x:f>IF(C119="","",IF(N119&lt;&gt;"","CHIUSO",IF(H119&lt;&gt;"","APERTO","SEGNALE")))</x:f>
      </x:c>
      <x:c r="R119" s="30" t="str">
        <x:f>IF(OR(I119="",O119="",J119=""),"",((O119-I119)*J119))</x:f>
      </x:c>
      <x:c r="S119" s="32" t="str">
        <x:f>IF(OR(I119="",O119=""),"",(O119/I119)-1)</x:f>
      </x:c>
      <x:c r="T119" s="34" t="str">
        <x:f>IF(OR(I119="",O119="",K119="",I119=K119),"",(O119-I119)/(I119-K119))</x:f>
      </x:c>
      <x:c r="U119" s="26"/>
      <x:c r="V119" s="26"/>
      <x:c r="W119" s="24"/>
      <x:c r="X119" s="22"/>
    </x:row>
    <x:row r="120" ht="20" customHeight="1">
      <x:c r="A120" s="28" t="str">
        <x:f>IF(C120="","",ROW()-1)</x:f>
      </x:c>
      <x:c r="B120" s="22"/>
      <x:c r="C120" s="22"/>
      <x:c r="D120" s="22"/>
      <x:c r="E120" s="22"/>
      <x:c r="F120" s="22"/>
      <x:c r="G120" s="24"/>
      <x:c r="H120" s="22"/>
      <x:c r="I120" s="24"/>
      <x:c r="J120" s="26"/>
      <x:c r="K120" s="24"/>
      <x:c r="L120" s="24"/>
      <x:c r="M120" s="24"/>
      <x:c r="N120" s="22"/>
      <x:c r="O120" s="24"/>
      <x:c r="P120" s="22"/>
      <x:c r="Q120" s="28" t="str">
        <x:f>IF(C120="","",IF(N120&lt;&gt;"","CHIUSO",IF(H120&lt;&gt;"","APERTO","SEGNALE")))</x:f>
      </x:c>
      <x:c r="R120" s="30" t="str">
        <x:f>IF(OR(I120="",O120="",J120=""),"",((O120-I120)*J120))</x:f>
      </x:c>
      <x:c r="S120" s="32" t="str">
        <x:f>IF(OR(I120="",O120=""),"",(O120/I120)-1)</x:f>
      </x:c>
      <x:c r="T120" s="34" t="str">
        <x:f>IF(OR(I120="",O120="",K120="",I120=K120),"",(O120-I120)/(I120-K120))</x:f>
      </x:c>
      <x:c r="U120" s="26"/>
      <x:c r="V120" s="26"/>
      <x:c r="W120" s="24"/>
      <x:c r="X120" s="22"/>
    </x:row>
    <x:row r="121" ht="20" customHeight="1">
      <x:c r="A121" s="28" t="str">
        <x:f>IF(C121="","",ROW()-1)</x:f>
      </x:c>
      <x:c r="B121" s="22"/>
      <x:c r="C121" s="22"/>
      <x:c r="D121" s="22"/>
      <x:c r="E121" s="22"/>
      <x:c r="F121" s="22"/>
      <x:c r="G121" s="24"/>
      <x:c r="H121" s="22"/>
      <x:c r="I121" s="24"/>
      <x:c r="J121" s="26"/>
      <x:c r="K121" s="24"/>
      <x:c r="L121" s="24"/>
      <x:c r="M121" s="24"/>
      <x:c r="N121" s="22"/>
      <x:c r="O121" s="24"/>
      <x:c r="P121" s="22"/>
      <x:c r="Q121" s="28" t="str">
        <x:f>IF(C121="","",IF(N121&lt;&gt;"","CHIUSO",IF(H121&lt;&gt;"","APERTO","SEGNALE")))</x:f>
      </x:c>
      <x:c r="R121" s="30" t="str">
        <x:f>IF(OR(I121="",O121="",J121=""),"",((O121-I121)*J121))</x:f>
      </x:c>
      <x:c r="S121" s="32" t="str">
        <x:f>IF(OR(I121="",O121=""),"",(O121/I121)-1)</x:f>
      </x:c>
      <x:c r="T121" s="34" t="str">
        <x:f>IF(OR(I121="",O121="",K121="",I121=K121),"",(O121-I121)/(I121-K121))</x:f>
      </x:c>
      <x:c r="U121" s="26"/>
      <x:c r="V121" s="26"/>
      <x:c r="W121" s="24"/>
      <x:c r="X121" s="22"/>
    </x:row>
    <x:row r="122" ht="20" customHeight="1">
      <x:c r="A122" s="28" t="str">
        <x:f>IF(C122="","",ROW()-1)</x:f>
      </x:c>
      <x:c r="B122" s="22"/>
      <x:c r="C122" s="22"/>
      <x:c r="D122" s="22"/>
      <x:c r="E122" s="22"/>
      <x:c r="F122" s="22"/>
      <x:c r="G122" s="24"/>
      <x:c r="H122" s="22"/>
      <x:c r="I122" s="24"/>
      <x:c r="J122" s="26"/>
      <x:c r="K122" s="24"/>
      <x:c r="L122" s="24"/>
      <x:c r="M122" s="24"/>
      <x:c r="N122" s="22"/>
      <x:c r="O122" s="24"/>
      <x:c r="P122" s="22"/>
      <x:c r="Q122" s="28" t="str">
        <x:f>IF(C122="","",IF(N122&lt;&gt;"","CHIUSO",IF(H122&lt;&gt;"","APERTO","SEGNALE")))</x:f>
      </x:c>
      <x:c r="R122" s="30" t="str">
        <x:f>IF(OR(I122="",O122="",J122=""),"",((O122-I122)*J122))</x:f>
      </x:c>
      <x:c r="S122" s="32" t="str">
        <x:f>IF(OR(I122="",O122=""),"",(O122/I122)-1)</x:f>
      </x:c>
      <x:c r="T122" s="34" t="str">
        <x:f>IF(OR(I122="",O122="",K122="",I122=K122),"",(O122-I122)/(I122-K122))</x:f>
      </x:c>
      <x:c r="U122" s="26"/>
      <x:c r="V122" s="26"/>
      <x:c r="W122" s="24"/>
      <x:c r="X122" s="22"/>
    </x:row>
    <x:row r="123" ht="20" customHeight="1">
      <x:c r="A123" s="28" t="str">
        <x:f>IF(C123="","",ROW()-1)</x:f>
      </x:c>
      <x:c r="B123" s="22"/>
      <x:c r="C123" s="22"/>
      <x:c r="D123" s="22"/>
      <x:c r="E123" s="22"/>
      <x:c r="F123" s="22"/>
      <x:c r="G123" s="24"/>
      <x:c r="H123" s="22"/>
      <x:c r="I123" s="24"/>
      <x:c r="J123" s="26"/>
      <x:c r="K123" s="24"/>
      <x:c r="L123" s="24"/>
      <x:c r="M123" s="24"/>
      <x:c r="N123" s="22"/>
      <x:c r="O123" s="24"/>
      <x:c r="P123" s="22"/>
      <x:c r="Q123" s="28" t="str">
        <x:f>IF(C123="","",IF(N123&lt;&gt;"","CHIUSO",IF(H123&lt;&gt;"","APERTO","SEGNALE")))</x:f>
      </x:c>
      <x:c r="R123" s="30" t="str">
        <x:f>IF(OR(I123="",O123="",J123=""),"",((O123-I123)*J123))</x:f>
      </x:c>
      <x:c r="S123" s="32" t="str">
        <x:f>IF(OR(I123="",O123=""),"",(O123/I123)-1)</x:f>
      </x:c>
      <x:c r="T123" s="34" t="str">
        <x:f>IF(OR(I123="",O123="",K123="",I123=K123),"",(O123-I123)/(I123-K123))</x:f>
      </x:c>
      <x:c r="U123" s="26"/>
      <x:c r="V123" s="26"/>
      <x:c r="W123" s="24"/>
      <x:c r="X123" s="22"/>
    </x:row>
    <x:row r="124" ht="20" customHeight="1">
      <x:c r="A124" s="28" t="str">
        <x:f>IF(C124="","",ROW()-1)</x:f>
      </x:c>
      <x:c r="B124" s="22"/>
      <x:c r="C124" s="22"/>
      <x:c r="D124" s="22"/>
      <x:c r="E124" s="22"/>
      <x:c r="F124" s="22"/>
      <x:c r="G124" s="24"/>
      <x:c r="H124" s="22"/>
      <x:c r="I124" s="24"/>
      <x:c r="J124" s="26"/>
      <x:c r="K124" s="24"/>
      <x:c r="L124" s="24"/>
      <x:c r="M124" s="24"/>
      <x:c r="N124" s="22"/>
      <x:c r="O124" s="24"/>
      <x:c r="P124" s="22"/>
      <x:c r="Q124" s="28" t="str">
        <x:f>IF(C124="","",IF(N124&lt;&gt;"","CHIUSO",IF(H124&lt;&gt;"","APERTO","SEGNALE")))</x:f>
      </x:c>
      <x:c r="R124" s="30" t="str">
        <x:f>IF(OR(I124="",O124="",J124=""),"",((O124-I124)*J124))</x:f>
      </x:c>
      <x:c r="S124" s="32" t="str">
        <x:f>IF(OR(I124="",O124=""),"",(O124/I124)-1)</x:f>
      </x:c>
      <x:c r="T124" s="34" t="str">
        <x:f>IF(OR(I124="",O124="",K124="",I124=K124),"",(O124-I124)/(I124-K124))</x:f>
      </x:c>
      <x:c r="U124" s="26"/>
      <x:c r="V124" s="26"/>
      <x:c r="W124" s="24"/>
      <x:c r="X124" s="22"/>
    </x:row>
    <x:row r="125" ht="20" customHeight="1">
      <x:c r="A125" s="28" t="str">
        <x:f>IF(C125="","",ROW()-1)</x:f>
      </x:c>
      <x:c r="B125" s="22"/>
      <x:c r="C125" s="22"/>
      <x:c r="D125" s="22"/>
      <x:c r="E125" s="22"/>
      <x:c r="F125" s="22"/>
      <x:c r="G125" s="24"/>
      <x:c r="H125" s="22"/>
      <x:c r="I125" s="24"/>
      <x:c r="J125" s="26"/>
      <x:c r="K125" s="24"/>
      <x:c r="L125" s="24"/>
      <x:c r="M125" s="24"/>
      <x:c r="N125" s="22"/>
      <x:c r="O125" s="24"/>
      <x:c r="P125" s="22"/>
      <x:c r="Q125" s="28" t="str">
        <x:f>IF(C125="","",IF(N125&lt;&gt;"","CHIUSO",IF(H125&lt;&gt;"","APERTO","SEGNALE")))</x:f>
      </x:c>
      <x:c r="R125" s="30" t="str">
        <x:f>IF(OR(I125="",O125="",J125=""),"",((O125-I125)*J125))</x:f>
      </x:c>
      <x:c r="S125" s="32" t="str">
        <x:f>IF(OR(I125="",O125=""),"",(O125/I125)-1)</x:f>
      </x:c>
      <x:c r="T125" s="34" t="str">
        <x:f>IF(OR(I125="",O125="",K125="",I125=K125),"",(O125-I125)/(I125-K125))</x:f>
      </x:c>
      <x:c r="U125" s="26"/>
      <x:c r="V125" s="26"/>
      <x:c r="W125" s="24"/>
      <x:c r="X125" s="22"/>
    </x:row>
    <x:row r="126" ht="20" customHeight="1">
      <x:c r="A126" s="28" t="str">
        <x:f>IF(C126="","",ROW()-1)</x:f>
      </x:c>
      <x:c r="B126" s="22"/>
      <x:c r="C126" s="22"/>
      <x:c r="D126" s="22"/>
      <x:c r="E126" s="22"/>
      <x:c r="F126" s="22"/>
      <x:c r="G126" s="24"/>
      <x:c r="H126" s="22"/>
      <x:c r="I126" s="24"/>
      <x:c r="J126" s="26"/>
      <x:c r="K126" s="24"/>
      <x:c r="L126" s="24"/>
      <x:c r="M126" s="24"/>
      <x:c r="N126" s="22"/>
      <x:c r="O126" s="24"/>
      <x:c r="P126" s="22"/>
      <x:c r="Q126" s="28" t="str">
        <x:f>IF(C126="","",IF(N126&lt;&gt;"","CHIUSO",IF(H126&lt;&gt;"","APERTO","SEGNALE")))</x:f>
      </x:c>
      <x:c r="R126" s="30" t="str">
        <x:f>IF(OR(I126="",O126="",J126=""),"",((O126-I126)*J126))</x:f>
      </x:c>
      <x:c r="S126" s="32" t="str">
        <x:f>IF(OR(I126="",O126=""),"",(O126/I126)-1)</x:f>
      </x:c>
      <x:c r="T126" s="34" t="str">
        <x:f>IF(OR(I126="",O126="",K126="",I126=K126),"",(O126-I126)/(I126-K126))</x:f>
      </x:c>
      <x:c r="U126" s="26"/>
      <x:c r="V126" s="26"/>
      <x:c r="W126" s="24"/>
      <x:c r="X126" s="22"/>
    </x:row>
    <x:row r="127" ht="20" customHeight="1">
      <x:c r="A127" s="28" t="str">
        <x:f>IF(C127="","",ROW()-1)</x:f>
      </x:c>
      <x:c r="B127" s="22"/>
      <x:c r="C127" s="22"/>
      <x:c r="D127" s="22"/>
      <x:c r="E127" s="22"/>
      <x:c r="F127" s="22"/>
      <x:c r="G127" s="24"/>
      <x:c r="H127" s="22"/>
      <x:c r="I127" s="24"/>
      <x:c r="J127" s="26"/>
      <x:c r="K127" s="24"/>
      <x:c r="L127" s="24"/>
      <x:c r="M127" s="24"/>
      <x:c r="N127" s="22"/>
      <x:c r="O127" s="24"/>
      <x:c r="P127" s="22"/>
      <x:c r="Q127" s="28" t="str">
        <x:f>IF(C127="","",IF(N127&lt;&gt;"","CHIUSO",IF(H127&lt;&gt;"","APERTO","SEGNALE")))</x:f>
      </x:c>
      <x:c r="R127" s="30" t="str">
        <x:f>IF(OR(I127="",O127="",J127=""),"",((O127-I127)*J127))</x:f>
      </x:c>
      <x:c r="S127" s="32" t="str">
        <x:f>IF(OR(I127="",O127=""),"",(O127/I127)-1)</x:f>
      </x:c>
      <x:c r="T127" s="34" t="str">
        <x:f>IF(OR(I127="",O127="",K127="",I127=K127),"",(O127-I127)/(I127-K127))</x:f>
      </x:c>
      <x:c r="U127" s="26"/>
      <x:c r="V127" s="26"/>
      <x:c r="W127" s="24"/>
      <x:c r="X127" s="22"/>
    </x:row>
    <x:row r="128" ht="20" customHeight="1">
      <x:c r="A128" s="28" t="str">
        <x:f>IF(C128="","",ROW()-1)</x:f>
      </x:c>
      <x:c r="B128" s="22"/>
      <x:c r="C128" s="22"/>
      <x:c r="D128" s="22"/>
      <x:c r="E128" s="22"/>
      <x:c r="F128" s="22"/>
      <x:c r="G128" s="24"/>
      <x:c r="H128" s="22"/>
      <x:c r="I128" s="24"/>
      <x:c r="J128" s="26"/>
      <x:c r="K128" s="24"/>
      <x:c r="L128" s="24"/>
      <x:c r="M128" s="24"/>
      <x:c r="N128" s="22"/>
      <x:c r="O128" s="24"/>
      <x:c r="P128" s="22"/>
      <x:c r="Q128" s="28" t="str">
        <x:f>IF(C128="","",IF(N128&lt;&gt;"","CHIUSO",IF(H128&lt;&gt;"","APERTO","SEGNALE")))</x:f>
      </x:c>
      <x:c r="R128" s="30" t="str">
        <x:f>IF(OR(I128="",O128="",J128=""),"",((O128-I128)*J128))</x:f>
      </x:c>
      <x:c r="S128" s="32" t="str">
        <x:f>IF(OR(I128="",O128=""),"",(O128/I128)-1)</x:f>
      </x:c>
      <x:c r="T128" s="34" t="str">
        <x:f>IF(OR(I128="",O128="",K128="",I128=K128),"",(O128-I128)/(I128-K128))</x:f>
      </x:c>
      <x:c r="U128" s="26"/>
      <x:c r="V128" s="26"/>
      <x:c r="W128" s="24"/>
      <x:c r="X128" s="22"/>
    </x:row>
    <x:row r="129" ht="20" customHeight="1">
      <x:c r="A129" s="28" t="str">
        <x:f>IF(C129="","",ROW()-1)</x:f>
      </x:c>
      <x:c r="B129" s="22"/>
      <x:c r="C129" s="22"/>
      <x:c r="D129" s="22"/>
      <x:c r="E129" s="22"/>
      <x:c r="F129" s="22"/>
      <x:c r="G129" s="24"/>
      <x:c r="H129" s="22"/>
      <x:c r="I129" s="24"/>
      <x:c r="J129" s="26"/>
      <x:c r="K129" s="24"/>
      <x:c r="L129" s="24"/>
      <x:c r="M129" s="24"/>
      <x:c r="N129" s="22"/>
      <x:c r="O129" s="24"/>
      <x:c r="P129" s="22"/>
      <x:c r="Q129" s="28" t="str">
        <x:f>IF(C129="","",IF(N129&lt;&gt;"","CHIUSO",IF(H129&lt;&gt;"","APERTO","SEGNALE")))</x:f>
      </x:c>
      <x:c r="R129" s="30" t="str">
        <x:f>IF(OR(I129="",O129="",J129=""),"",((O129-I129)*J129))</x:f>
      </x:c>
      <x:c r="S129" s="32" t="str">
        <x:f>IF(OR(I129="",O129=""),"",(O129/I129)-1)</x:f>
      </x:c>
      <x:c r="T129" s="34" t="str">
        <x:f>IF(OR(I129="",O129="",K129="",I129=K129),"",(O129-I129)/(I129-K129))</x:f>
      </x:c>
      <x:c r="U129" s="26"/>
      <x:c r="V129" s="26"/>
      <x:c r="W129" s="24"/>
      <x:c r="X129" s="22"/>
    </x:row>
    <x:row r="130" ht="20" customHeight="1">
      <x:c r="A130" s="28" t="str">
        <x:f>IF(C130="","",ROW()-1)</x:f>
      </x:c>
      <x:c r="B130" s="22"/>
      <x:c r="C130" s="22"/>
      <x:c r="D130" s="22"/>
      <x:c r="E130" s="22"/>
      <x:c r="F130" s="22"/>
      <x:c r="G130" s="24"/>
      <x:c r="H130" s="22"/>
      <x:c r="I130" s="24"/>
      <x:c r="J130" s="26"/>
      <x:c r="K130" s="24"/>
      <x:c r="L130" s="24"/>
      <x:c r="M130" s="24"/>
      <x:c r="N130" s="22"/>
      <x:c r="O130" s="24"/>
      <x:c r="P130" s="22"/>
      <x:c r="Q130" s="28" t="str">
        <x:f>IF(C130="","",IF(N130&lt;&gt;"","CHIUSO",IF(H130&lt;&gt;"","APERTO","SEGNALE")))</x:f>
      </x:c>
      <x:c r="R130" s="30" t="str">
        <x:f>IF(OR(I130="",O130="",J130=""),"",((O130-I130)*J130))</x:f>
      </x:c>
      <x:c r="S130" s="32" t="str">
        <x:f>IF(OR(I130="",O130=""),"",(O130/I130)-1)</x:f>
      </x:c>
      <x:c r="T130" s="34" t="str">
        <x:f>IF(OR(I130="",O130="",K130="",I130=K130),"",(O130-I130)/(I130-K130))</x:f>
      </x:c>
      <x:c r="U130" s="26"/>
      <x:c r="V130" s="26"/>
      <x:c r="W130" s="24"/>
      <x:c r="X130" s="22"/>
    </x:row>
    <x:row r="131" ht="20" customHeight="1">
      <x:c r="A131" s="28" t="str">
        <x:f>IF(C131="","",ROW()-1)</x:f>
      </x:c>
      <x:c r="B131" s="22"/>
      <x:c r="C131" s="22"/>
      <x:c r="D131" s="22"/>
      <x:c r="E131" s="22"/>
      <x:c r="F131" s="22"/>
      <x:c r="G131" s="24"/>
      <x:c r="H131" s="22"/>
      <x:c r="I131" s="24"/>
      <x:c r="J131" s="26"/>
      <x:c r="K131" s="24"/>
      <x:c r="L131" s="24"/>
      <x:c r="M131" s="24"/>
      <x:c r="N131" s="22"/>
      <x:c r="O131" s="24"/>
      <x:c r="P131" s="22"/>
      <x:c r="Q131" s="28" t="str">
        <x:f>IF(C131="","",IF(N131&lt;&gt;"","CHIUSO",IF(H131&lt;&gt;"","APERTO","SEGNALE")))</x:f>
      </x:c>
      <x:c r="R131" s="30" t="str">
        <x:f>IF(OR(I131="",O131="",J131=""),"",((O131-I131)*J131))</x:f>
      </x:c>
      <x:c r="S131" s="32" t="str">
        <x:f>IF(OR(I131="",O131=""),"",(O131/I131)-1)</x:f>
      </x:c>
      <x:c r="T131" s="34" t="str">
        <x:f>IF(OR(I131="",O131="",K131="",I131=K131),"",(O131-I131)/(I131-K131))</x:f>
      </x:c>
      <x:c r="U131" s="26"/>
      <x:c r="V131" s="26"/>
      <x:c r="W131" s="24"/>
      <x:c r="X131" s="22"/>
    </x:row>
    <x:row r="132" ht="20" customHeight="1">
      <x:c r="A132" s="28" t="str">
        <x:f>IF(C132="","",ROW()-1)</x:f>
      </x:c>
      <x:c r="B132" s="22"/>
      <x:c r="C132" s="22"/>
      <x:c r="D132" s="22"/>
      <x:c r="E132" s="22"/>
      <x:c r="F132" s="22"/>
      <x:c r="G132" s="24"/>
      <x:c r="H132" s="22"/>
      <x:c r="I132" s="24"/>
      <x:c r="J132" s="26"/>
      <x:c r="K132" s="24"/>
      <x:c r="L132" s="24"/>
      <x:c r="M132" s="24"/>
      <x:c r="N132" s="22"/>
      <x:c r="O132" s="24"/>
      <x:c r="P132" s="22"/>
      <x:c r="Q132" s="28" t="str">
        <x:f>IF(C132="","",IF(N132&lt;&gt;"","CHIUSO",IF(H132&lt;&gt;"","APERTO","SEGNALE")))</x:f>
      </x:c>
      <x:c r="R132" s="30" t="str">
        <x:f>IF(OR(I132="",O132="",J132=""),"",((O132-I132)*J132))</x:f>
      </x:c>
      <x:c r="S132" s="32" t="str">
        <x:f>IF(OR(I132="",O132=""),"",(O132/I132)-1)</x:f>
      </x:c>
      <x:c r="T132" s="34" t="str">
        <x:f>IF(OR(I132="",O132="",K132="",I132=K132),"",(O132-I132)/(I132-K132))</x:f>
      </x:c>
      <x:c r="U132" s="26"/>
      <x:c r="V132" s="26"/>
      <x:c r="W132" s="24"/>
      <x:c r="X132" s="22"/>
    </x:row>
    <x:row r="133" ht="20" customHeight="1">
      <x:c r="A133" s="28" t="str">
        <x:f>IF(C133="","",ROW()-1)</x:f>
      </x:c>
      <x:c r="B133" s="22"/>
      <x:c r="C133" s="22"/>
      <x:c r="D133" s="22"/>
      <x:c r="E133" s="22"/>
      <x:c r="F133" s="22"/>
      <x:c r="G133" s="24"/>
      <x:c r="H133" s="22"/>
      <x:c r="I133" s="24"/>
      <x:c r="J133" s="26"/>
      <x:c r="K133" s="24"/>
      <x:c r="L133" s="24"/>
      <x:c r="M133" s="24"/>
      <x:c r="N133" s="22"/>
      <x:c r="O133" s="24"/>
      <x:c r="P133" s="22"/>
      <x:c r="Q133" s="28" t="str">
        <x:f>IF(C133="","",IF(N133&lt;&gt;"","CHIUSO",IF(H133&lt;&gt;"","APERTO","SEGNALE")))</x:f>
      </x:c>
      <x:c r="R133" s="30" t="str">
        <x:f>IF(OR(I133="",O133="",J133=""),"",((O133-I133)*J133))</x:f>
      </x:c>
      <x:c r="S133" s="32" t="str">
        <x:f>IF(OR(I133="",O133=""),"",(O133/I133)-1)</x:f>
      </x:c>
      <x:c r="T133" s="34" t="str">
        <x:f>IF(OR(I133="",O133="",K133="",I133=K133),"",(O133-I133)/(I133-K133))</x:f>
      </x:c>
      <x:c r="U133" s="26"/>
      <x:c r="V133" s="26"/>
      <x:c r="W133" s="24"/>
      <x:c r="X133" s="22"/>
    </x:row>
    <x:row r="134" ht="20" customHeight="1">
      <x:c r="A134" s="28" t="str">
        <x:f>IF(C134="","",ROW()-1)</x:f>
      </x:c>
      <x:c r="B134" s="22"/>
      <x:c r="C134" s="22"/>
      <x:c r="D134" s="22"/>
      <x:c r="E134" s="22"/>
      <x:c r="F134" s="22"/>
      <x:c r="G134" s="24"/>
      <x:c r="H134" s="22"/>
      <x:c r="I134" s="24"/>
      <x:c r="J134" s="26"/>
      <x:c r="K134" s="24"/>
      <x:c r="L134" s="24"/>
      <x:c r="M134" s="24"/>
      <x:c r="N134" s="22"/>
      <x:c r="O134" s="24"/>
      <x:c r="P134" s="22"/>
      <x:c r="Q134" s="28" t="str">
        <x:f>IF(C134="","",IF(N134&lt;&gt;"","CHIUSO",IF(H134&lt;&gt;"","APERTO","SEGNALE")))</x:f>
      </x:c>
      <x:c r="R134" s="30" t="str">
        <x:f>IF(OR(I134="",O134="",J134=""),"",((O134-I134)*J134))</x:f>
      </x:c>
      <x:c r="S134" s="32" t="str">
        <x:f>IF(OR(I134="",O134=""),"",(O134/I134)-1)</x:f>
      </x:c>
      <x:c r="T134" s="34" t="str">
        <x:f>IF(OR(I134="",O134="",K134="",I134=K134),"",(O134-I134)/(I134-K134))</x:f>
      </x:c>
      <x:c r="U134" s="26"/>
      <x:c r="V134" s="26"/>
      <x:c r="W134" s="24"/>
      <x:c r="X134" s="22"/>
    </x:row>
    <x:row r="135" ht="20" customHeight="1">
      <x:c r="A135" s="28" t="str">
        <x:f>IF(C135="","",ROW()-1)</x:f>
      </x:c>
      <x:c r="B135" s="22"/>
      <x:c r="C135" s="22"/>
      <x:c r="D135" s="22"/>
      <x:c r="E135" s="22"/>
      <x:c r="F135" s="22"/>
      <x:c r="G135" s="24"/>
      <x:c r="H135" s="22"/>
      <x:c r="I135" s="24"/>
      <x:c r="J135" s="26"/>
      <x:c r="K135" s="24"/>
      <x:c r="L135" s="24"/>
      <x:c r="M135" s="24"/>
      <x:c r="N135" s="22"/>
      <x:c r="O135" s="24"/>
      <x:c r="P135" s="22"/>
      <x:c r="Q135" s="28" t="str">
        <x:f>IF(C135="","",IF(N135&lt;&gt;"","CHIUSO",IF(H135&lt;&gt;"","APERTO","SEGNALE")))</x:f>
      </x:c>
      <x:c r="R135" s="30" t="str">
        <x:f>IF(OR(I135="",O135="",J135=""),"",((O135-I135)*J135))</x:f>
      </x:c>
      <x:c r="S135" s="32" t="str">
        <x:f>IF(OR(I135="",O135=""),"",(O135/I135)-1)</x:f>
      </x:c>
      <x:c r="T135" s="34" t="str">
        <x:f>IF(OR(I135="",O135="",K135="",I135=K135),"",(O135-I135)/(I135-K135))</x:f>
      </x:c>
      <x:c r="U135" s="26"/>
      <x:c r="V135" s="26"/>
      <x:c r="W135" s="24"/>
      <x:c r="X135" s="22"/>
    </x:row>
    <x:row r="136" ht="20" customHeight="1">
      <x:c r="A136" s="28" t="str">
        <x:f>IF(C136="","",ROW()-1)</x:f>
      </x:c>
      <x:c r="B136" s="22"/>
      <x:c r="C136" s="22"/>
      <x:c r="D136" s="22"/>
      <x:c r="E136" s="22"/>
      <x:c r="F136" s="22"/>
      <x:c r="G136" s="24"/>
      <x:c r="H136" s="22"/>
      <x:c r="I136" s="24"/>
      <x:c r="J136" s="26"/>
      <x:c r="K136" s="24"/>
      <x:c r="L136" s="24"/>
      <x:c r="M136" s="24"/>
      <x:c r="N136" s="22"/>
      <x:c r="O136" s="24"/>
      <x:c r="P136" s="22"/>
      <x:c r="Q136" s="28" t="str">
        <x:f>IF(C136="","",IF(N136&lt;&gt;"","CHIUSO",IF(H136&lt;&gt;"","APERTO","SEGNALE")))</x:f>
      </x:c>
      <x:c r="R136" s="30" t="str">
        <x:f>IF(OR(I136="",O136="",J136=""),"",((O136-I136)*J136))</x:f>
      </x:c>
      <x:c r="S136" s="32" t="str">
        <x:f>IF(OR(I136="",O136=""),"",(O136/I136)-1)</x:f>
      </x:c>
      <x:c r="T136" s="34" t="str">
        <x:f>IF(OR(I136="",O136="",K136="",I136=K136),"",(O136-I136)/(I136-K136))</x:f>
      </x:c>
      <x:c r="U136" s="26"/>
      <x:c r="V136" s="26"/>
      <x:c r="W136" s="24"/>
      <x:c r="X136" s="22"/>
    </x:row>
    <x:row r="137" ht="20" customHeight="1">
      <x:c r="A137" s="28" t="str">
        <x:f>IF(C137="","",ROW()-1)</x:f>
      </x:c>
      <x:c r="B137" s="22"/>
      <x:c r="C137" s="22"/>
      <x:c r="D137" s="22"/>
      <x:c r="E137" s="22"/>
      <x:c r="F137" s="22"/>
      <x:c r="G137" s="24"/>
      <x:c r="H137" s="22"/>
      <x:c r="I137" s="24"/>
      <x:c r="J137" s="26"/>
      <x:c r="K137" s="24"/>
      <x:c r="L137" s="24"/>
      <x:c r="M137" s="24"/>
      <x:c r="N137" s="22"/>
      <x:c r="O137" s="24"/>
      <x:c r="P137" s="22"/>
      <x:c r="Q137" s="28" t="str">
        <x:f>IF(C137="","",IF(N137&lt;&gt;"","CHIUSO",IF(H137&lt;&gt;"","APERTO","SEGNALE")))</x:f>
      </x:c>
      <x:c r="R137" s="30" t="str">
        <x:f>IF(OR(I137="",O137="",J137=""),"",((O137-I137)*J137))</x:f>
      </x:c>
      <x:c r="S137" s="32" t="str">
        <x:f>IF(OR(I137="",O137=""),"",(O137/I137)-1)</x:f>
      </x:c>
      <x:c r="T137" s="34" t="str">
        <x:f>IF(OR(I137="",O137="",K137="",I137=K137),"",(O137-I137)/(I137-K137))</x:f>
      </x:c>
      <x:c r="U137" s="26"/>
      <x:c r="V137" s="26"/>
      <x:c r="W137" s="24"/>
      <x:c r="X137" s="22"/>
    </x:row>
    <x:row r="138" ht="20" customHeight="1">
      <x:c r="A138" s="28" t="str">
        <x:f>IF(C138="","",ROW()-1)</x:f>
      </x:c>
      <x:c r="B138" s="22"/>
      <x:c r="C138" s="22"/>
      <x:c r="D138" s="22"/>
      <x:c r="E138" s="22"/>
      <x:c r="F138" s="22"/>
      <x:c r="G138" s="24"/>
      <x:c r="H138" s="22"/>
      <x:c r="I138" s="24"/>
      <x:c r="J138" s="26"/>
      <x:c r="K138" s="24"/>
      <x:c r="L138" s="24"/>
      <x:c r="M138" s="24"/>
      <x:c r="N138" s="22"/>
      <x:c r="O138" s="24"/>
      <x:c r="P138" s="22"/>
      <x:c r="Q138" s="28" t="str">
        <x:f>IF(C138="","",IF(N138&lt;&gt;"","CHIUSO",IF(H138&lt;&gt;"","APERTO","SEGNALE")))</x:f>
      </x:c>
      <x:c r="R138" s="30" t="str">
        <x:f>IF(OR(I138="",O138="",J138=""),"",((O138-I138)*J138))</x:f>
      </x:c>
      <x:c r="S138" s="32" t="str">
        <x:f>IF(OR(I138="",O138=""),"",(O138/I138)-1)</x:f>
      </x:c>
      <x:c r="T138" s="34" t="str">
        <x:f>IF(OR(I138="",O138="",K138="",I138=K138),"",(O138-I138)/(I138-K138))</x:f>
      </x:c>
      <x:c r="U138" s="26"/>
      <x:c r="V138" s="26"/>
      <x:c r="W138" s="24"/>
      <x:c r="X138" s="22"/>
    </x:row>
    <x:row r="139" ht="20" customHeight="1">
      <x:c r="A139" s="28" t="str">
        <x:f>IF(C139="","",ROW()-1)</x:f>
      </x:c>
      <x:c r="B139" s="22"/>
      <x:c r="C139" s="22"/>
      <x:c r="D139" s="22"/>
      <x:c r="E139" s="22"/>
      <x:c r="F139" s="22"/>
      <x:c r="G139" s="24"/>
      <x:c r="H139" s="22"/>
      <x:c r="I139" s="24"/>
      <x:c r="J139" s="26"/>
      <x:c r="K139" s="24"/>
      <x:c r="L139" s="24"/>
      <x:c r="M139" s="24"/>
      <x:c r="N139" s="22"/>
      <x:c r="O139" s="24"/>
      <x:c r="P139" s="22"/>
      <x:c r="Q139" s="28" t="str">
        <x:f>IF(C139="","",IF(N139&lt;&gt;"","CHIUSO",IF(H139&lt;&gt;"","APERTO","SEGNALE")))</x:f>
      </x:c>
      <x:c r="R139" s="30" t="str">
        <x:f>IF(OR(I139="",O139="",J139=""),"",((O139-I139)*J139))</x:f>
      </x:c>
      <x:c r="S139" s="32" t="str">
        <x:f>IF(OR(I139="",O139=""),"",(O139/I139)-1)</x:f>
      </x:c>
      <x:c r="T139" s="34" t="str">
        <x:f>IF(OR(I139="",O139="",K139="",I139=K139),"",(O139-I139)/(I139-K139))</x:f>
      </x:c>
      <x:c r="U139" s="26"/>
      <x:c r="V139" s="26"/>
      <x:c r="W139" s="24"/>
      <x:c r="X139" s="22"/>
    </x:row>
    <x:row r="140" ht="20" customHeight="1">
      <x:c r="A140" s="28" t="str">
        <x:f>IF(C140="","",ROW()-1)</x:f>
      </x:c>
      <x:c r="B140" s="22"/>
      <x:c r="C140" s="22"/>
      <x:c r="D140" s="22"/>
      <x:c r="E140" s="22"/>
      <x:c r="F140" s="22"/>
      <x:c r="G140" s="24"/>
      <x:c r="H140" s="22"/>
      <x:c r="I140" s="24"/>
      <x:c r="J140" s="26"/>
      <x:c r="K140" s="24"/>
      <x:c r="L140" s="24"/>
      <x:c r="M140" s="24"/>
      <x:c r="N140" s="22"/>
      <x:c r="O140" s="24"/>
      <x:c r="P140" s="22"/>
      <x:c r="Q140" s="28" t="str">
        <x:f>IF(C140="","",IF(N140&lt;&gt;"","CHIUSO",IF(H140&lt;&gt;"","APERTO","SEGNALE")))</x:f>
      </x:c>
      <x:c r="R140" s="30" t="str">
        <x:f>IF(OR(I140="",O140="",J140=""),"",((O140-I140)*J140))</x:f>
      </x:c>
      <x:c r="S140" s="32" t="str">
        <x:f>IF(OR(I140="",O140=""),"",(O140/I140)-1)</x:f>
      </x:c>
      <x:c r="T140" s="34" t="str">
        <x:f>IF(OR(I140="",O140="",K140="",I140=K140),"",(O140-I140)/(I140-K140))</x:f>
      </x:c>
      <x:c r="U140" s="26"/>
      <x:c r="V140" s="26"/>
      <x:c r="W140" s="24"/>
      <x:c r="X140" s="22"/>
    </x:row>
    <x:row r="141" ht="20" customHeight="1">
      <x:c r="A141" s="28" t="str">
        <x:f>IF(C141="","",ROW()-1)</x:f>
      </x:c>
      <x:c r="B141" s="22"/>
      <x:c r="C141" s="22"/>
      <x:c r="D141" s="22"/>
      <x:c r="E141" s="22"/>
      <x:c r="F141" s="22"/>
      <x:c r="G141" s="24"/>
      <x:c r="H141" s="22"/>
      <x:c r="I141" s="24"/>
      <x:c r="J141" s="26"/>
      <x:c r="K141" s="24"/>
      <x:c r="L141" s="24"/>
      <x:c r="M141" s="24"/>
      <x:c r="N141" s="22"/>
      <x:c r="O141" s="24"/>
      <x:c r="P141" s="22"/>
      <x:c r="Q141" s="28" t="str">
        <x:f>IF(C141="","",IF(N141&lt;&gt;"","CHIUSO",IF(H141&lt;&gt;"","APERTO","SEGNALE")))</x:f>
      </x:c>
      <x:c r="R141" s="30" t="str">
        <x:f>IF(OR(I141="",O141="",J141=""),"",((O141-I141)*J141))</x:f>
      </x:c>
      <x:c r="S141" s="32" t="str">
        <x:f>IF(OR(I141="",O141=""),"",(O141/I141)-1)</x:f>
      </x:c>
      <x:c r="T141" s="34" t="str">
        <x:f>IF(OR(I141="",O141="",K141="",I141=K141),"",(O141-I141)/(I141-K141))</x:f>
      </x:c>
      <x:c r="U141" s="26"/>
      <x:c r="V141" s="26"/>
      <x:c r="W141" s="24"/>
      <x:c r="X141" s="22"/>
    </x:row>
    <x:row r="142" ht="20" customHeight="1">
      <x:c r="A142" s="28" t="str">
        <x:f>IF(C142="","",ROW()-1)</x:f>
      </x:c>
      <x:c r="B142" s="22"/>
      <x:c r="C142" s="22"/>
      <x:c r="D142" s="22"/>
      <x:c r="E142" s="22"/>
      <x:c r="F142" s="22"/>
      <x:c r="G142" s="24"/>
      <x:c r="H142" s="22"/>
      <x:c r="I142" s="24"/>
      <x:c r="J142" s="26"/>
      <x:c r="K142" s="24"/>
      <x:c r="L142" s="24"/>
      <x:c r="M142" s="24"/>
      <x:c r="N142" s="22"/>
      <x:c r="O142" s="24"/>
      <x:c r="P142" s="22"/>
      <x:c r="Q142" s="28" t="str">
        <x:f>IF(C142="","",IF(N142&lt;&gt;"","CHIUSO",IF(H142&lt;&gt;"","APERTO","SEGNALE")))</x:f>
      </x:c>
      <x:c r="R142" s="30" t="str">
        <x:f>IF(OR(I142="",O142="",J142=""),"",((O142-I142)*J142))</x:f>
      </x:c>
      <x:c r="S142" s="32" t="str">
        <x:f>IF(OR(I142="",O142=""),"",(O142/I142)-1)</x:f>
      </x:c>
      <x:c r="T142" s="34" t="str">
        <x:f>IF(OR(I142="",O142="",K142="",I142=K142),"",(O142-I142)/(I142-K142))</x:f>
      </x:c>
      <x:c r="U142" s="26"/>
      <x:c r="V142" s="26"/>
      <x:c r="W142" s="24"/>
      <x:c r="X142" s="22"/>
    </x:row>
    <x:row r="143" ht="20" customHeight="1">
      <x:c r="A143" s="28" t="str">
        <x:f>IF(C143="","",ROW()-1)</x:f>
      </x:c>
      <x:c r="B143" s="22"/>
      <x:c r="C143" s="22"/>
      <x:c r="D143" s="22"/>
      <x:c r="E143" s="22"/>
      <x:c r="F143" s="22"/>
      <x:c r="G143" s="24"/>
      <x:c r="H143" s="22"/>
      <x:c r="I143" s="24"/>
      <x:c r="J143" s="26"/>
      <x:c r="K143" s="24"/>
      <x:c r="L143" s="24"/>
      <x:c r="M143" s="24"/>
      <x:c r="N143" s="22"/>
      <x:c r="O143" s="24"/>
      <x:c r="P143" s="22"/>
      <x:c r="Q143" s="28" t="str">
        <x:f>IF(C143="","",IF(N143&lt;&gt;"","CHIUSO",IF(H143&lt;&gt;"","APERTO","SEGNALE")))</x:f>
      </x:c>
      <x:c r="R143" s="30" t="str">
        <x:f>IF(OR(I143="",O143="",J143=""),"",((O143-I143)*J143))</x:f>
      </x:c>
      <x:c r="S143" s="32" t="str">
        <x:f>IF(OR(I143="",O143=""),"",(O143/I143)-1)</x:f>
      </x:c>
      <x:c r="T143" s="34" t="str">
        <x:f>IF(OR(I143="",O143="",K143="",I143=K143),"",(O143-I143)/(I143-K143))</x:f>
      </x:c>
      <x:c r="U143" s="26"/>
      <x:c r="V143" s="26"/>
      <x:c r="W143" s="24"/>
      <x:c r="X143" s="22"/>
    </x:row>
    <x:row r="144" ht="20" customHeight="1">
      <x:c r="A144" s="28" t="str">
        <x:f>IF(C144="","",ROW()-1)</x:f>
      </x:c>
      <x:c r="B144" s="22"/>
      <x:c r="C144" s="22"/>
      <x:c r="D144" s="22"/>
      <x:c r="E144" s="22"/>
      <x:c r="F144" s="22"/>
      <x:c r="G144" s="24"/>
      <x:c r="H144" s="22"/>
      <x:c r="I144" s="24"/>
      <x:c r="J144" s="26"/>
      <x:c r="K144" s="24"/>
      <x:c r="L144" s="24"/>
      <x:c r="M144" s="24"/>
      <x:c r="N144" s="22"/>
      <x:c r="O144" s="24"/>
      <x:c r="P144" s="22"/>
      <x:c r="Q144" s="28" t="str">
        <x:f>IF(C144="","",IF(N144&lt;&gt;"","CHIUSO",IF(H144&lt;&gt;"","APERTO","SEGNALE")))</x:f>
      </x:c>
      <x:c r="R144" s="30" t="str">
        <x:f>IF(OR(I144="",O144="",J144=""),"",((O144-I144)*J144))</x:f>
      </x:c>
      <x:c r="S144" s="32" t="str">
        <x:f>IF(OR(I144="",O144=""),"",(O144/I144)-1)</x:f>
      </x:c>
      <x:c r="T144" s="34" t="str">
        <x:f>IF(OR(I144="",O144="",K144="",I144=K144),"",(O144-I144)/(I144-K144))</x:f>
      </x:c>
      <x:c r="U144" s="26"/>
      <x:c r="V144" s="26"/>
      <x:c r="W144" s="24"/>
      <x:c r="X144" s="22"/>
    </x:row>
    <x:row r="145" ht="20" customHeight="1">
      <x:c r="A145" s="28" t="str">
        <x:f>IF(C145="","",ROW()-1)</x:f>
      </x:c>
      <x:c r="B145" s="22"/>
      <x:c r="C145" s="22"/>
      <x:c r="D145" s="22"/>
      <x:c r="E145" s="22"/>
      <x:c r="F145" s="22"/>
      <x:c r="G145" s="24"/>
      <x:c r="H145" s="22"/>
      <x:c r="I145" s="24"/>
      <x:c r="J145" s="26"/>
      <x:c r="K145" s="24"/>
      <x:c r="L145" s="24"/>
      <x:c r="M145" s="24"/>
      <x:c r="N145" s="22"/>
      <x:c r="O145" s="24"/>
      <x:c r="P145" s="22"/>
      <x:c r="Q145" s="28" t="str">
        <x:f>IF(C145="","",IF(N145&lt;&gt;"","CHIUSO",IF(H145&lt;&gt;"","APERTO","SEGNALE")))</x:f>
      </x:c>
      <x:c r="R145" s="30" t="str">
        <x:f>IF(OR(I145="",O145="",J145=""),"",((O145-I145)*J145))</x:f>
      </x:c>
      <x:c r="S145" s="32" t="str">
        <x:f>IF(OR(I145="",O145=""),"",(O145/I145)-1)</x:f>
      </x:c>
      <x:c r="T145" s="34" t="str">
        <x:f>IF(OR(I145="",O145="",K145="",I145=K145),"",(O145-I145)/(I145-K145))</x:f>
      </x:c>
      <x:c r="U145" s="26"/>
      <x:c r="V145" s="26"/>
      <x:c r="W145" s="24"/>
      <x:c r="X145" s="22"/>
    </x:row>
    <x:row r="146" ht="20" customHeight="1">
      <x:c r="A146" s="28" t="str">
        <x:f>IF(C146="","",ROW()-1)</x:f>
      </x:c>
      <x:c r="B146" s="22"/>
      <x:c r="C146" s="22"/>
      <x:c r="D146" s="22"/>
      <x:c r="E146" s="22"/>
      <x:c r="F146" s="22"/>
      <x:c r="G146" s="24"/>
      <x:c r="H146" s="22"/>
      <x:c r="I146" s="24"/>
      <x:c r="J146" s="26"/>
      <x:c r="K146" s="24"/>
      <x:c r="L146" s="24"/>
      <x:c r="M146" s="24"/>
      <x:c r="N146" s="22"/>
      <x:c r="O146" s="24"/>
      <x:c r="P146" s="22"/>
      <x:c r="Q146" s="28" t="str">
        <x:f>IF(C146="","",IF(N146&lt;&gt;"","CHIUSO",IF(H146&lt;&gt;"","APERTO","SEGNALE")))</x:f>
      </x:c>
      <x:c r="R146" s="30" t="str">
        <x:f>IF(OR(I146="",O146="",J146=""),"",((O146-I146)*J146))</x:f>
      </x:c>
      <x:c r="S146" s="32" t="str">
        <x:f>IF(OR(I146="",O146=""),"",(O146/I146)-1)</x:f>
      </x:c>
      <x:c r="T146" s="34" t="str">
        <x:f>IF(OR(I146="",O146="",K146="",I146=K146),"",(O146-I146)/(I146-K146))</x:f>
      </x:c>
      <x:c r="U146" s="26"/>
      <x:c r="V146" s="26"/>
      <x:c r="W146" s="24"/>
      <x:c r="X146" s="22"/>
    </x:row>
    <x:row r="147" ht="20" customHeight="1">
      <x:c r="A147" s="28" t="str">
        <x:f>IF(C147="","",ROW()-1)</x:f>
      </x:c>
      <x:c r="B147" s="22"/>
      <x:c r="C147" s="22"/>
      <x:c r="D147" s="22"/>
      <x:c r="E147" s="22"/>
      <x:c r="F147" s="22"/>
      <x:c r="G147" s="24"/>
      <x:c r="H147" s="22"/>
      <x:c r="I147" s="24"/>
      <x:c r="J147" s="26"/>
      <x:c r="K147" s="24"/>
      <x:c r="L147" s="24"/>
      <x:c r="M147" s="24"/>
      <x:c r="N147" s="22"/>
      <x:c r="O147" s="24"/>
      <x:c r="P147" s="22"/>
      <x:c r="Q147" s="28" t="str">
        <x:f>IF(C147="","",IF(N147&lt;&gt;"","CHIUSO",IF(H147&lt;&gt;"","APERTO","SEGNALE")))</x:f>
      </x:c>
      <x:c r="R147" s="30" t="str">
        <x:f>IF(OR(I147="",O147="",J147=""),"",((O147-I147)*J147))</x:f>
      </x:c>
      <x:c r="S147" s="32" t="str">
        <x:f>IF(OR(I147="",O147=""),"",(O147/I147)-1)</x:f>
      </x:c>
      <x:c r="T147" s="34" t="str">
        <x:f>IF(OR(I147="",O147="",K147="",I147=K147),"",(O147-I147)/(I147-K147))</x:f>
      </x:c>
      <x:c r="U147" s="26"/>
      <x:c r="V147" s="26"/>
      <x:c r="W147" s="24"/>
      <x:c r="X147" s="22"/>
    </x:row>
    <x:row r="148" ht="20" customHeight="1">
      <x:c r="A148" s="28" t="str">
        <x:f>IF(C148="","",ROW()-1)</x:f>
      </x:c>
      <x:c r="B148" s="22"/>
      <x:c r="C148" s="22"/>
      <x:c r="D148" s="22"/>
      <x:c r="E148" s="22"/>
      <x:c r="F148" s="22"/>
      <x:c r="G148" s="24"/>
      <x:c r="H148" s="22"/>
      <x:c r="I148" s="24"/>
      <x:c r="J148" s="26"/>
      <x:c r="K148" s="24"/>
      <x:c r="L148" s="24"/>
      <x:c r="M148" s="24"/>
      <x:c r="N148" s="22"/>
      <x:c r="O148" s="24"/>
      <x:c r="P148" s="22"/>
      <x:c r="Q148" s="28" t="str">
        <x:f>IF(C148="","",IF(N148&lt;&gt;"","CHIUSO",IF(H148&lt;&gt;"","APERTO","SEGNALE")))</x:f>
      </x:c>
      <x:c r="R148" s="30" t="str">
        <x:f>IF(OR(I148="",O148="",J148=""),"",((O148-I148)*J148))</x:f>
      </x:c>
      <x:c r="S148" s="32" t="str">
        <x:f>IF(OR(I148="",O148=""),"",(O148/I148)-1)</x:f>
      </x:c>
      <x:c r="T148" s="34" t="str">
        <x:f>IF(OR(I148="",O148="",K148="",I148=K148),"",(O148-I148)/(I148-K148))</x:f>
      </x:c>
      <x:c r="U148" s="26"/>
      <x:c r="V148" s="26"/>
      <x:c r="W148" s="24"/>
      <x:c r="X148" s="22"/>
    </x:row>
    <x:row r="149" ht="20" customHeight="1">
      <x:c r="A149" s="28" t="str">
        <x:f>IF(C149="","",ROW()-1)</x:f>
      </x:c>
      <x:c r="B149" s="22"/>
      <x:c r="C149" s="22"/>
      <x:c r="D149" s="22"/>
      <x:c r="E149" s="22"/>
      <x:c r="F149" s="22"/>
      <x:c r="G149" s="24"/>
      <x:c r="H149" s="22"/>
      <x:c r="I149" s="24"/>
      <x:c r="J149" s="26"/>
      <x:c r="K149" s="24"/>
      <x:c r="L149" s="24"/>
      <x:c r="M149" s="24"/>
      <x:c r="N149" s="22"/>
      <x:c r="O149" s="24"/>
      <x:c r="P149" s="22"/>
      <x:c r="Q149" s="28" t="str">
        <x:f>IF(C149="","",IF(N149&lt;&gt;"","CHIUSO",IF(H149&lt;&gt;"","APERTO","SEGNALE")))</x:f>
      </x:c>
      <x:c r="R149" s="30" t="str">
        <x:f>IF(OR(I149="",O149="",J149=""),"",((O149-I149)*J149))</x:f>
      </x:c>
      <x:c r="S149" s="32" t="str">
        <x:f>IF(OR(I149="",O149=""),"",(O149/I149)-1)</x:f>
      </x:c>
      <x:c r="T149" s="34" t="str">
        <x:f>IF(OR(I149="",O149="",K149="",I149=K149),"",(O149-I149)/(I149-K149))</x:f>
      </x:c>
      <x:c r="U149" s="26"/>
      <x:c r="V149" s="26"/>
      <x:c r="W149" s="24"/>
      <x:c r="X149" s="22"/>
    </x:row>
    <x:row r="150" ht="20" customHeight="1">
      <x:c r="A150" s="28" t="str">
        <x:f>IF(C150="","",ROW()-1)</x:f>
      </x:c>
      <x:c r="B150" s="22"/>
      <x:c r="C150" s="22"/>
      <x:c r="D150" s="22"/>
      <x:c r="E150" s="22"/>
      <x:c r="F150" s="22"/>
      <x:c r="G150" s="24"/>
      <x:c r="H150" s="22"/>
      <x:c r="I150" s="24"/>
      <x:c r="J150" s="26"/>
      <x:c r="K150" s="24"/>
      <x:c r="L150" s="24"/>
      <x:c r="M150" s="24"/>
      <x:c r="N150" s="22"/>
      <x:c r="O150" s="24"/>
      <x:c r="P150" s="22"/>
      <x:c r="Q150" s="28" t="str">
        <x:f>IF(C150="","",IF(N150&lt;&gt;"","CHIUSO",IF(H150&lt;&gt;"","APERTO","SEGNALE")))</x:f>
      </x:c>
      <x:c r="R150" s="30" t="str">
        <x:f>IF(OR(I150="",O150="",J150=""),"",((O150-I150)*J150))</x:f>
      </x:c>
      <x:c r="S150" s="32" t="str">
        <x:f>IF(OR(I150="",O150=""),"",(O150/I150)-1)</x:f>
      </x:c>
      <x:c r="T150" s="34" t="str">
        <x:f>IF(OR(I150="",O150="",K150="",I150=K150),"",(O150-I150)/(I150-K150))</x:f>
      </x:c>
      <x:c r="U150" s="26"/>
      <x:c r="V150" s="26"/>
      <x:c r="W150" s="24"/>
      <x:c r="X150" s="22"/>
    </x:row>
    <x:row r="151" ht="20" customHeight="1">
      <x:c r="A151" s="28" t="str">
        <x:f>IF(C151="","",ROW()-1)</x:f>
      </x:c>
      <x:c r="B151" s="22"/>
      <x:c r="C151" s="22"/>
      <x:c r="D151" s="22"/>
      <x:c r="E151" s="22"/>
      <x:c r="F151" s="22"/>
      <x:c r="G151" s="24"/>
      <x:c r="H151" s="22"/>
      <x:c r="I151" s="24"/>
      <x:c r="J151" s="26"/>
      <x:c r="K151" s="24"/>
      <x:c r="L151" s="24"/>
      <x:c r="M151" s="24"/>
      <x:c r="N151" s="22"/>
      <x:c r="O151" s="24"/>
      <x:c r="P151" s="22"/>
      <x:c r="Q151" s="28" t="str">
        <x:f>IF(C151="","",IF(N151&lt;&gt;"","CHIUSO",IF(H151&lt;&gt;"","APERTO","SEGNALE")))</x:f>
      </x:c>
      <x:c r="R151" s="30" t="str">
        <x:f>IF(OR(I151="",O151="",J151=""),"",((O151-I151)*J151))</x:f>
      </x:c>
      <x:c r="S151" s="32" t="str">
        <x:f>IF(OR(I151="",O151=""),"",(O151/I151)-1)</x:f>
      </x:c>
      <x:c r="T151" s="34" t="str">
        <x:f>IF(OR(I151="",O151="",K151="",I151=K151),"",(O151-I151)/(I151-K151))</x:f>
      </x:c>
      <x:c r="U151" s="26"/>
      <x:c r="V151" s="26"/>
      <x:c r="W151" s="24"/>
      <x:c r="X151" s="22"/>
    </x:row>
    <x:row r="152" ht="20" customHeight="1">
      <x:c r="A152" s="28" t="str">
        <x:f>IF(C152="","",ROW()-1)</x:f>
      </x:c>
      <x:c r="B152" s="22"/>
      <x:c r="C152" s="22"/>
      <x:c r="D152" s="22"/>
      <x:c r="E152" s="22"/>
      <x:c r="F152" s="22"/>
      <x:c r="G152" s="24"/>
      <x:c r="H152" s="22"/>
      <x:c r="I152" s="24"/>
      <x:c r="J152" s="26"/>
      <x:c r="K152" s="24"/>
      <x:c r="L152" s="24"/>
      <x:c r="M152" s="24"/>
      <x:c r="N152" s="22"/>
      <x:c r="O152" s="24"/>
      <x:c r="P152" s="22"/>
      <x:c r="Q152" s="28" t="str">
        <x:f>IF(C152="","",IF(N152&lt;&gt;"","CHIUSO",IF(H152&lt;&gt;"","APERTO","SEGNALE")))</x:f>
      </x:c>
      <x:c r="R152" s="30" t="str">
        <x:f>IF(OR(I152="",O152="",J152=""),"",((O152-I152)*J152))</x:f>
      </x:c>
      <x:c r="S152" s="32" t="str">
        <x:f>IF(OR(I152="",O152=""),"",(O152/I152)-1)</x:f>
      </x:c>
      <x:c r="T152" s="34" t="str">
        <x:f>IF(OR(I152="",O152="",K152="",I152=K152),"",(O152-I152)/(I152-K152))</x:f>
      </x:c>
      <x:c r="U152" s="26"/>
      <x:c r="V152" s="26"/>
      <x:c r="W152" s="24"/>
      <x:c r="X152" s="22"/>
    </x:row>
    <x:row r="153" ht="20" customHeight="1">
      <x:c r="A153" s="28" t="str">
        <x:f>IF(C153="","",ROW()-1)</x:f>
      </x:c>
      <x:c r="B153" s="22"/>
      <x:c r="C153" s="22"/>
      <x:c r="D153" s="22"/>
      <x:c r="E153" s="22"/>
      <x:c r="F153" s="22"/>
      <x:c r="G153" s="24"/>
      <x:c r="H153" s="22"/>
      <x:c r="I153" s="24"/>
      <x:c r="J153" s="26"/>
      <x:c r="K153" s="24"/>
      <x:c r="L153" s="24"/>
      <x:c r="M153" s="24"/>
      <x:c r="N153" s="22"/>
      <x:c r="O153" s="24"/>
      <x:c r="P153" s="22"/>
      <x:c r="Q153" s="28" t="str">
        <x:f>IF(C153="","",IF(N153&lt;&gt;"","CHIUSO",IF(H153&lt;&gt;"","APERTO","SEGNALE")))</x:f>
      </x:c>
      <x:c r="R153" s="30" t="str">
        <x:f>IF(OR(I153="",O153="",J153=""),"",((O153-I153)*J153))</x:f>
      </x:c>
      <x:c r="S153" s="32" t="str">
        <x:f>IF(OR(I153="",O153=""),"",(O153/I153)-1)</x:f>
      </x:c>
      <x:c r="T153" s="34" t="str">
        <x:f>IF(OR(I153="",O153="",K153="",I153=K153),"",(O153-I153)/(I153-K153))</x:f>
      </x:c>
      <x:c r="U153" s="26"/>
      <x:c r="V153" s="26"/>
      <x:c r="W153" s="24"/>
      <x:c r="X153" s="22"/>
    </x:row>
    <x:row r="154" ht="20" customHeight="1">
      <x:c r="A154" s="28" t="str">
        <x:f>IF(C154="","",ROW()-1)</x:f>
      </x:c>
      <x:c r="B154" s="22"/>
      <x:c r="C154" s="22"/>
      <x:c r="D154" s="22"/>
      <x:c r="E154" s="22"/>
      <x:c r="F154" s="22"/>
      <x:c r="G154" s="24"/>
      <x:c r="H154" s="22"/>
      <x:c r="I154" s="24"/>
      <x:c r="J154" s="26"/>
      <x:c r="K154" s="24"/>
      <x:c r="L154" s="24"/>
      <x:c r="M154" s="24"/>
      <x:c r="N154" s="22"/>
      <x:c r="O154" s="24"/>
      <x:c r="P154" s="22"/>
      <x:c r="Q154" s="28" t="str">
        <x:f>IF(C154="","",IF(N154&lt;&gt;"","CHIUSO",IF(H154&lt;&gt;"","APERTO","SEGNALE")))</x:f>
      </x:c>
      <x:c r="R154" s="30" t="str">
        <x:f>IF(OR(I154="",O154="",J154=""),"",((O154-I154)*J154))</x:f>
      </x:c>
      <x:c r="S154" s="32" t="str">
        <x:f>IF(OR(I154="",O154=""),"",(O154/I154)-1)</x:f>
      </x:c>
      <x:c r="T154" s="34" t="str">
        <x:f>IF(OR(I154="",O154="",K154="",I154=K154),"",(O154-I154)/(I154-K154))</x:f>
      </x:c>
      <x:c r="U154" s="26"/>
      <x:c r="V154" s="26"/>
      <x:c r="W154" s="24"/>
      <x:c r="X154" s="22"/>
    </x:row>
    <x:row r="155" ht="20" customHeight="1">
      <x:c r="A155" s="28" t="str">
        <x:f>IF(C155="","",ROW()-1)</x:f>
      </x:c>
      <x:c r="B155" s="22"/>
      <x:c r="C155" s="22"/>
      <x:c r="D155" s="22"/>
      <x:c r="E155" s="22"/>
      <x:c r="F155" s="22"/>
      <x:c r="G155" s="24"/>
      <x:c r="H155" s="22"/>
      <x:c r="I155" s="24"/>
      <x:c r="J155" s="26"/>
      <x:c r="K155" s="24"/>
      <x:c r="L155" s="24"/>
      <x:c r="M155" s="24"/>
      <x:c r="N155" s="22"/>
      <x:c r="O155" s="24"/>
      <x:c r="P155" s="22"/>
      <x:c r="Q155" s="28" t="str">
        <x:f>IF(C155="","",IF(N155&lt;&gt;"","CHIUSO",IF(H155&lt;&gt;"","APERTO","SEGNALE")))</x:f>
      </x:c>
      <x:c r="R155" s="30" t="str">
        <x:f>IF(OR(I155="",O155="",J155=""),"",((O155-I155)*J155))</x:f>
      </x:c>
      <x:c r="S155" s="32" t="str">
        <x:f>IF(OR(I155="",O155=""),"",(O155/I155)-1)</x:f>
      </x:c>
      <x:c r="T155" s="34" t="str">
        <x:f>IF(OR(I155="",O155="",K155="",I155=K155),"",(O155-I155)/(I155-K155))</x:f>
      </x:c>
      <x:c r="U155" s="26"/>
      <x:c r="V155" s="26"/>
      <x:c r="W155" s="24"/>
      <x:c r="X155" s="22"/>
    </x:row>
    <x:row r="156" ht="20" customHeight="1">
      <x:c r="A156" s="28" t="str">
        <x:f>IF(C156="","",ROW()-1)</x:f>
      </x:c>
      <x:c r="B156" s="22"/>
      <x:c r="C156" s="22"/>
      <x:c r="D156" s="22"/>
      <x:c r="E156" s="22"/>
      <x:c r="F156" s="22"/>
      <x:c r="G156" s="24"/>
      <x:c r="H156" s="22"/>
      <x:c r="I156" s="24"/>
      <x:c r="J156" s="26"/>
      <x:c r="K156" s="24"/>
      <x:c r="L156" s="24"/>
      <x:c r="M156" s="24"/>
      <x:c r="N156" s="22"/>
      <x:c r="O156" s="24"/>
      <x:c r="P156" s="22"/>
      <x:c r="Q156" s="28" t="str">
        <x:f>IF(C156="","",IF(N156&lt;&gt;"","CHIUSO",IF(H156&lt;&gt;"","APERTO","SEGNALE")))</x:f>
      </x:c>
      <x:c r="R156" s="30" t="str">
        <x:f>IF(OR(I156="",O156="",J156=""),"",((O156-I156)*J156))</x:f>
      </x:c>
      <x:c r="S156" s="32" t="str">
        <x:f>IF(OR(I156="",O156=""),"",(O156/I156)-1)</x:f>
      </x:c>
      <x:c r="T156" s="34" t="str">
        <x:f>IF(OR(I156="",O156="",K156="",I156=K156),"",(O156-I156)/(I156-K156))</x:f>
      </x:c>
      <x:c r="U156" s="26"/>
      <x:c r="V156" s="26"/>
      <x:c r="W156" s="24"/>
      <x:c r="X156" s="22"/>
    </x:row>
    <x:row r="157" ht="20" customHeight="1">
      <x:c r="A157" s="28" t="str">
        <x:f>IF(C157="","",ROW()-1)</x:f>
      </x:c>
      <x:c r="B157" s="22"/>
      <x:c r="C157" s="22"/>
      <x:c r="D157" s="22"/>
      <x:c r="E157" s="22"/>
      <x:c r="F157" s="22"/>
      <x:c r="G157" s="24"/>
      <x:c r="H157" s="22"/>
      <x:c r="I157" s="24"/>
      <x:c r="J157" s="26"/>
      <x:c r="K157" s="24"/>
      <x:c r="L157" s="24"/>
      <x:c r="M157" s="24"/>
      <x:c r="N157" s="22"/>
      <x:c r="O157" s="24"/>
      <x:c r="P157" s="22"/>
      <x:c r="Q157" s="28" t="str">
        <x:f>IF(C157="","",IF(N157&lt;&gt;"","CHIUSO",IF(H157&lt;&gt;"","APERTO","SEGNALE")))</x:f>
      </x:c>
      <x:c r="R157" s="30" t="str">
        <x:f>IF(OR(I157="",O157="",J157=""),"",((O157-I157)*J157))</x:f>
      </x:c>
      <x:c r="S157" s="32" t="str">
        <x:f>IF(OR(I157="",O157=""),"",(O157/I157)-1)</x:f>
      </x:c>
      <x:c r="T157" s="34" t="str">
        <x:f>IF(OR(I157="",O157="",K157="",I157=K157),"",(O157-I157)/(I157-K157))</x:f>
      </x:c>
      <x:c r="U157" s="26"/>
      <x:c r="V157" s="26"/>
      <x:c r="W157" s="24"/>
      <x:c r="X157" s="22"/>
    </x:row>
    <x:row r="158" ht="20" customHeight="1">
      <x:c r="A158" s="28" t="str">
        <x:f>IF(C158="","",ROW()-1)</x:f>
      </x:c>
      <x:c r="B158" s="22"/>
      <x:c r="C158" s="22"/>
      <x:c r="D158" s="22"/>
      <x:c r="E158" s="22"/>
      <x:c r="F158" s="22"/>
      <x:c r="G158" s="24"/>
      <x:c r="H158" s="22"/>
      <x:c r="I158" s="24"/>
      <x:c r="J158" s="26"/>
      <x:c r="K158" s="24"/>
      <x:c r="L158" s="24"/>
      <x:c r="M158" s="24"/>
      <x:c r="N158" s="22"/>
      <x:c r="O158" s="24"/>
      <x:c r="P158" s="22"/>
      <x:c r="Q158" s="28" t="str">
        <x:f>IF(C158="","",IF(N158&lt;&gt;"","CHIUSO",IF(H158&lt;&gt;"","APERTO","SEGNALE")))</x:f>
      </x:c>
      <x:c r="R158" s="30" t="str">
        <x:f>IF(OR(I158="",O158="",J158=""),"",((O158-I158)*J158))</x:f>
      </x:c>
      <x:c r="S158" s="32" t="str">
        <x:f>IF(OR(I158="",O158=""),"",(O158/I158)-1)</x:f>
      </x:c>
      <x:c r="T158" s="34" t="str">
        <x:f>IF(OR(I158="",O158="",K158="",I158=K158),"",(O158-I158)/(I158-K158))</x:f>
      </x:c>
      <x:c r="U158" s="26"/>
      <x:c r="V158" s="26"/>
      <x:c r="W158" s="24"/>
      <x:c r="X158" s="22"/>
    </x:row>
    <x:row r="159" ht="20" customHeight="1">
      <x:c r="A159" s="28" t="str">
        <x:f>IF(C159="","",ROW()-1)</x:f>
      </x:c>
      <x:c r="B159" s="22"/>
      <x:c r="C159" s="22"/>
      <x:c r="D159" s="22"/>
      <x:c r="E159" s="22"/>
      <x:c r="F159" s="22"/>
      <x:c r="G159" s="24"/>
      <x:c r="H159" s="22"/>
      <x:c r="I159" s="24"/>
      <x:c r="J159" s="26"/>
      <x:c r="K159" s="24"/>
      <x:c r="L159" s="24"/>
      <x:c r="M159" s="24"/>
      <x:c r="N159" s="22"/>
      <x:c r="O159" s="24"/>
      <x:c r="P159" s="22"/>
      <x:c r="Q159" s="28" t="str">
        <x:f>IF(C159="","",IF(N159&lt;&gt;"","CHIUSO",IF(H159&lt;&gt;"","APERTO","SEGNALE")))</x:f>
      </x:c>
      <x:c r="R159" s="30" t="str">
        <x:f>IF(OR(I159="",O159="",J159=""),"",((O159-I159)*J159))</x:f>
      </x:c>
      <x:c r="S159" s="32" t="str">
        <x:f>IF(OR(I159="",O159=""),"",(O159/I159)-1)</x:f>
      </x:c>
      <x:c r="T159" s="34" t="str">
        <x:f>IF(OR(I159="",O159="",K159="",I159=K159),"",(O159-I159)/(I159-K159))</x:f>
      </x:c>
      <x:c r="U159" s="26"/>
      <x:c r="V159" s="26"/>
      <x:c r="W159" s="24"/>
      <x:c r="X159" s="22"/>
    </x:row>
    <x:row r="160" ht="20" customHeight="1">
      <x:c r="A160" s="28" t="str">
        <x:f>IF(C160="","",ROW()-1)</x:f>
      </x:c>
      <x:c r="B160" s="22"/>
      <x:c r="C160" s="22"/>
      <x:c r="D160" s="22"/>
      <x:c r="E160" s="22"/>
      <x:c r="F160" s="22"/>
      <x:c r="G160" s="24"/>
      <x:c r="H160" s="22"/>
      <x:c r="I160" s="24"/>
      <x:c r="J160" s="26"/>
      <x:c r="K160" s="24"/>
      <x:c r="L160" s="24"/>
      <x:c r="M160" s="24"/>
      <x:c r="N160" s="22"/>
      <x:c r="O160" s="24"/>
      <x:c r="P160" s="22"/>
      <x:c r="Q160" s="28" t="str">
        <x:f>IF(C160="","",IF(N160&lt;&gt;"","CHIUSO",IF(H160&lt;&gt;"","APERTO","SEGNALE")))</x:f>
      </x:c>
      <x:c r="R160" s="30" t="str">
        <x:f>IF(OR(I160="",O160="",J160=""),"",((O160-I160)*J160))</x:f>
      </x:c>
      <x:c r="S160" s="32" t="str">
        <x:f>IF(OR(I160="",O160=""),"",(O160/I160)-1)</x:f>
      </x:c>
      <x:c r="T160" s="34" t="str">
        <x:f>IF(OR(I160="",O160="",K160="",I160=K160),"",(O160-I160)/(I160-K160))</x:f>
      </x:c>
      <x:c r="U160" s="26"/>
      <x:c r="V160" s="26"/>
      <x:c r="W160" s="24"/>
      <x:c r="X160" s="22"/>
    </x:row>
    <x:row r="161" ht="20" customHeight="1">
      <x:c r="A161" s="28" t="str">
        <x:f>IF(C161="","",ROW()-1)</x:f>
      </x:c>
      <x:c r="B161" s="22"/>
      <x:c r="C161" s="22"/>
      <x:c r="D161" s="22"/>
      <x:c r="E161" s="22"/>
      <x:c r="F161" s="22"/>
      <x:c r="G161" s="24"/>
      <x:c r="H161" s="22"/>
      <x:c r="I161" s="24"/>
      <x:c r="J161" s="26"/>
      <x:c r="K161" s="24"/>
      <x:c r="L161" s="24"/>
      <x:c r="M161" s="24"/>
      <x:c r="N161" s="22"/>
      <x:c r="O161" s="24"/>
      <x:c r="P161" s="22"/>
      <x:c r="Q161" s="28" t="str">
        <x:f>IF(C161="","",IF(N161&lt;&gt;"","CHIUSO",IF(H161&lt;&gt;"","APERTO","SEGNALE")))</x:f>
      </x:c>
      <x:c r="R161" s="30" t="str">
        <x:f>IF(OR(I161="",O161="",J161=""),"",((O161-I161)*J161))</x:f>
      </x:c>
      <x:c r="S161" s="32" t="str">
        <x:f>IF(OR(I161="",O161=""),"",(O161/I161)-1)</x:f>
      </x:c>
      <x:c r="T161" s="34" t="str">
        <x:f>IF(OR(I161="",O161="",K161="",I161=K161),"",(O161-I161)/(I161-K161))</x:f>
      </x:c>
      <x:c r="U161" s="26"/>
      <x:c r="V161" s="26"/>
      <x:c r="W161" s="24"/>
      <x:c r="X161" s="22"/>
    </x:row>
    <x:row r="162" ht="20" customHeight="1">
      <x:c r="A162" s="28" t="str">
        <x:f>IF(C162="","",ROW()-1)</x:f>
      </x:c>
      <x:c r="B162" s="22"/>
      <x:c r="C162" s="22"/>
      <x:c r="D162" s="22"/>
      <x:c r="E162" s="22"/>
      <x:c r="F162" s="22"/>
      <x:c r="G162" s="24"/>
      <x:c r="H162" s="22"/>
      <x:c r="I162" s="24"/>
      <x:c r="J162" s="26"/>
      <x:c r="K162" s="24"/>
      <x:c r="L162" s="24"/>
      <x:c r="M162" s="24"/>
      <x:c r="N162" s="22"/>
      <x:c r="O162" s="24"/>
      <x:c r="P162" s="22"/>
      <x:c r="Q162" s="28" t="str">
        <x:f>IF(C162="","",IF(N162&lt;&gt;"","CHIUSO",IF(H162&lt;&gt;"","APERTO","SEGNALE")))</x:f>
      </x:c>
      <x:c r="R162" s="30" t="str">
        <x:f>IF(OR(I162="",O162="",J162=""),"",((O162-I162)*J162))</x:f>
      </x:c>
      <x:c r="S162" s="32" t="str">
        <x:f>IF(OR(I162="",O162=""),"",(O162/I162)-1)</x:f>
      </x:c>
      <x:c r="T162" s="34" t="str">
        <x:f>IF(OR(I162="",O162="",K162="",I162=K162),"",(O162-I162)/(I162-K162))</x:f>
      </x:c>
      <x:c r="U162" s="26"/>
      <x:c r="V162" s="26"/>
      <x:c r="W162" s="24"/>
      <x:c r="X162" s="22"/>
    </x:row>
    <x:row r="163" ht="20" customHeight="1">
      <x:c r="A163" s="28" t="str">
        <x:f>IF(C163="","",ROW()-1)</x:f>
      </x:c>
      <x:c r="B163" s="22"/>
      <x:c r="C163" s="22"/>
      <x:c r="D163" s="22"/>
      <x:c r="E163" s="22"/>
      <x:c r="F163" s="22"/>
      <x:c r="G163" s="24"/>
      <x:c r="H163" s="22"/>
      <x:c r="I163" s="24"/>
      <x:c r="J163" s="26"/>
      <x:c r="K163" s="24"/>
      <x:c r="L163" s="24"/>
      <x:c r="M163" s="24"/>
      <x:c r="N163" s="22"/>
      <x:c r="O163" s="24"/>
      <x:c r="P163" s="22"/>
      <x:c r="Q163" s="28" t="str">
        <x:f>IF(C163="","",IF(N163&lt;&gt;"","CHIUSO",IF(H163&lt;&gt;"","APERTO","SEGNALE")))</x:f>
      </x:c>
      <x:c r="R163" s="30" t="str">
        <x:f>IF(OR(I163="",O163="",J163=""),"",((O163-I163)*J163))</x:f>
      </x:c>
      <x:c r="S163" s="32" t="str">
        <x:f>IF(OR(I163="",O163=""),"",(O163/I163)-1)</x:f>
      </x:c>
      <x:c r="T163" s="34" t="str">
        <x:f>IF(OR(I163="",O163="",K163="",I163=K163),"",(O163-I163)/(I163-K163))</x:f>
      </x:c>
      <x:c r="U163" s="26"/>
      <x:c r="V163" s="26"/>
      <x:c r="W163" s="24"/>
      <x:c r="X163" s="22"/>
    </x:row>
    <x:row r="164" ht="20" customHeight="1">
      <x:c r="A164" s="28" t="str">
        <x:f>IF(C164="","",ROW()-1)</x:f>
      </x:c>
      <x:c r="B164" s="22"/>
      <x:c r="C164" s="22"/>
      <x:c r="D164" s="22"/>
      <x:c r="E164" s="22"/>
      <x:c r="F164" s="22"/>
      <x:c r="G164" s="24"/>
      <x:c r="H164" s="22"/>
      <x:c r="I164" s="24"/>
      <x:c r="J164" s="26"/>
      <x:c r="K164" s="24"/>
      <x:c r="L164" s="24"/>
      <x:c r="M164" s="24"/>
      <x:c r="N164" s="22"/>
      <x:c r="O164" s="24"/>
      <x:c r="P164" s="22"/>
      <x:c r="Q164" s="28" t="str">
        <x:f>IF(C164="","",IF(N164&lt;&gt;"","CHIUSO",IF(H164&lt;&gt;"","APERTO","SEGNALE")))</x:f>
      </x:c>
      <x:c r="R164" s="30" t="str">
        <x:f>IF(OR(I164="",O164="",J164=""),"",((O164-I164)*J164))</x:f>
      </x:c>
      <x:c r="S164" s="32" t="str">
        <x:f>IF(OR(I164="",O164=""),"",(O164/I164)-1)</x:f>
      </x:c>
      <x:c r="T164" s="34" t="str">
        <x:f>IF(OR(I164="",O164="",K164="",I164=K164),"",(O164-I164)/(I164-K164))</x:f>
      </x:c>
      <x:c r="U164" s="26"/>
      <x:c r="V164" s="26"/>
      <x:c r="W164" s="24"/>
      <x:c r="X164" s="22"/>
    </x:row>
    <x:row r="165" ht="20" customHeight="1">
      <x:c r="A165" s="28" t="str">
        <x:f>IF(C165="","",ROW()-1)</x:f>
      </x:c>
      <x:c r="B165" s="22"/>
      <x:c r="C165" s="22"/>
      <x:c r="D165" s="22"/>
      <x:c r="E165" s="22"/>
      <x:c r="F165" s="22"/>
      <x:c r="G165" s="24"/>
      <x:c r="H165" s="22"/>
      <x:c r="I165" s="24"/>
      <x:c r="J165" s="26"/>
      <x:c r="K165" s="24"/>
      <x:c r="L165" s="24"/>
      <x:c r="M165" s="24"/>
      <x:c r="N165" s="22"/>
      <x:c r="O165" s="24"/>
      <x:c r="P165" s="22"/>
      <x:c r="Q165" s="28" t="str">
        <x:f>IF(C165="","",IF(N165&lt;&gt;"","CHIUSO",IF(H165&lt;&gt;"","APERTO","SEGNALE")))</x:f>
      </x:c>
      <x:c r="R165" s="30" t="str">
        <x:f>IF(OR(I165="",O165="",J165=""),"",((O165-I165)*J165))</x:f>
      </x:c>
      <x:c r="S165" s="32" t="str">
        <x:f>IF(OR(I165="",O165=""),"",(O165/I165)-1)</x:f>
      </x:c>
      <x:c r="T165" s="34" t="str">
        <x:f>IF(OR(I165="",O165="",K165="",I165=K165),"",(O165-I165)/(I165-K165))</x:f>
      </x:c>
      <x:c r="U165" s="26"/>
      <x:c r="V165" s="26"/>
      <x:c r="W165" s="24"/>
      <x:c r="X165" s="22"/>
    </x:row>
    <x:row r="166" ht="20" customHeight="1">
      <x:c r="A166" s="28" t="str">
        <x:f>IF(C166="","",ROW()-1)</x:f>
      </x:c>
      <x:c r="B166" s="22"/>
      <x:c r="C166" s="22"/>
      <x:c r="D166" s="22"/>
      <x:c r="E166" s="22"/>
      <x:c r="F166" s="22"/>
      <x:c r="G166" s="24"/>
      <x:c r="H166" s="22"/>
      <x:c r="I166" s="24"/>
      <x:c r="J166" s="26"/>
      <x:c r="K166" s="24"/>
      <x:c r="L166" s="24"/>
      <x:c r="M166" s="24"/>
      <x:c r="N166" s="22"/>
      <x:c r="O166" s="24"/>
      <x:c r="P166" s="22"/>
      <x:c r="Q166" s="28" t="str">
        <x:f>IF(C166="","",IF(N166&lt;&gt;"","CHIUSO",IF(H166&lt;&gt;"","APERTO","SEGNALE")))</x:f>
      </x:c>
      <x:c r="R166" s="30" t="str">
        <x:f>IF(OR(I166="",O166="",J166=""),"",((O166-I166)*J166))</x:f>
      </x:c>
      <x:c r="S166" s="32" t="str">
        <x:f>IF(OR(I166="",O166=""),"",(O166/I166)-1)</x:f>
      </x:c>
      <x:c r="T166" s="34" t="str">
        <x:f>IF(OR(I166="",O166="",K166="",I166=K166),"",(O166-I166)/(I166-K166))</x:f>
      </x:c>
      <x:c r="U166" s="26"/>
      <x:c r="V166" s="26"/>
      <x:c r="W166" s="24"/>
      <x:c r="X166" s="22"/>
    </x:row>
    <x:row r="167" ht="20" customHeight="1">
      <x:c r="A167" s="28" t="str">
        <x:f>IF(C167="","",ROW()-1)</x:f>
      </x:c>
      <x:c r="B167" s="22"/>
      <x:c r="C167" s="22"/>
      <x:c r="D167" s="22"/>
      <x:c r="E167" s="22"/>
      <x:c r="F167" s="22"/>
      <x:c r="G167" s="24"/>
      <x:c r="H167" s="22"/>
      <x:c r="I167" s="24"/>
      <x:c r="J167" s="26"/>
      <x:c r="K167" s="24"/>
      <x:c r="L167" s="24"/>
      <x:c r="M167" s="24"/>
      <x:c r="N167" s="22"/>
      <x:c r="O167" s="24"/>
      <x:c r="P167" s="22"/>
      <x:c r="Q167" s="28" t="str">
        <x:f>IF(C167="","",IF(N167&lt;&gt;"","CHIUSO",IF(H167&lt;&gt;"","APERTO","SEGNALE")))</x:f>
      </x:c>
      <x:c r="R167" s="30" t="str">
        <x:f>IF(OR(I167="",O167="",J167=""),"",((O167-I167)*J167))</x:f>
      </x:c>
      <x:c r="S167" s="32" t="str">
        <x:f>IF(OR(I167="",O167=""),"",(O167/I167)-1)</x:f>
      </x:c>
      <x:c r="T167" s="34" t="str">
        <x:f>IF(OR(I167="",O167="",K167="",I167=K167),"",(O167-I167)/(I167-K167))</x:f>
      </x:c>
      <x:c r="U167" s="26"/>
      <x:c r="V167" s="26"/>
      <x:c r="W167" s="24"/>
      <x:c r="X167" s="22"/>
    </x:row>
    <x:row r="168" ht="20" customHeight="1">
      <x:c r="A168" s="28" t="str">
        <x:f>IF(C168="","",ROW()-1)</x:f>
      </x:c>
      <x:c r="B168" s="22"/>
      <x:c r="C168" s="22"/>
      <x:c r="D168" s="22"/>
      <x:c r="E168" s="22"/>
      <x:c r="F168" s="22"/>
      <x:c r="G168" s="24"/>
      <x:c r="H168" s="22"/>
      <x:c r="I168" s="24"/>
      <x:c r="J168" s="26"/>
      <x:c r="K168" s="24"/>
      <x:c r="L168" s="24"/>
      <x:c r="M168" s="24"/>
      <x:c r="N168" s="22"/>
      <x:c r="O168" s="24"/>
      <x:c r="P168" s="22"/>
      <x:c r="Q168" s="28" t="str">
        <x:f>IF(C168="","",IF(N168&lt;&gt;"","CHIUSO",IF(H168&lt;&gt;"","APERTO","SEGNALE")))</x:f>
      </x:c>
      <x:c r="R168" s="30" t="str">
        <x:f>IF(OR(I168="",O168="",J168=""),"",((O168-I168)*J168))</x:f>
      </x:c>
      <x:c r="S168" s="32" t="str">
        <x:f>IF(OR(I168="",O168=""),"",(O168/I168)-1)</x:f>
      </x:c>
      <x:c r="T168" s="34" t="str">
        <x:f>IF(OR(I168="",O168="",K168="",I168=K168),"",(O168-I168)/(I168-K168))</x:f>
      </x:c>
      <x:c r="U168" s="26"/>
      <x:c r="V168" s="26"/>
      <x:c r="W168" s="24"/>
      <x:c r="X168" s="22"/>
    </x:row>
    <x:row r="169" ht="20" customHeight="1">
      <x:c r="A169" s="28" t="str">
        <x:f>IF(C169="","",ROW()-1)</x:f>
      </x:c>
      <x:c r="B169" s="22"/>
      <x:c r="C169" s="22"/>
      <x:c r="D169" s="22"/>
      <x:c r="E169" s="22"/>
      <x:c r="F169" s="22"/>
      <x:c r="G169" s="24"/>
      <x:c r="H169" s="22"/>
      <x:c r="I169" s="24"/>
      <x:c r="J169" s="26"/>
      <x:c r="K169" s="24"/>
      <x:c r="L169" s="24"/>
      <x:c r="M169" s="24"/>
      <x:c r="N169" s="22"/>
      <x:c r="O169" s="24"/>
      <x:c r="P169" s="22"/>
      <x:c r="Q169" s="28" t="str">
        <x:f>IF(C169="","",IF(N169&lt;&gt;"","CHIUSO",IF(H169&lt;&gt;"","APERTO","SEGNALE")))</x:f>
      </x:c>
      <x:c r="R169" s="30" t="str">
        <x:f>IF(OR(I169="",O169="",J169=""),"",((O169-I169)*J169))</x:f>
      </x:c>
      <x:c r="S169" s="32" t="str">
        <x:f>IF(OR(I169="",O169=""),"",(O169/I169)-1)</x:f>
      </x:c>
      <x:c r="T169" s="34" t="str">
        <x:f>IF(OR(I169="",O169="",K169="",I169=K169),"",(O169-I169)/(I169-K169))</x:f>
      </x:c>
      <x:c r="U169" s="26"/>
      <x:c r="V169" s="26"/>
      <x:c r="W169" s="24"/>
      <x:c r="X169" s="22"/>
    </x:row>
    <x:row r="170" ht="20" customHeight="1">
      <x:c r="A170" s="28" t="str">
        <x:f>IF(C170="","",ROW()-1)</x:f>
      </x:c>
      <x:c r="B170" s="22"/>
      <x:c r="C170" s="22"/>
      <x:c r="D170" s="22"/>
      <x:c r="E170" s="22"/>
      <x:c r="F170" s="22"/>
      <x:c r="G170" s="24"/>
      <x:c r="H170" s="22"/>
      <x:c r="I170" s="24"/>
      <x:c r="J170" s="26"/>
      <x:c r="K170" s="24"/>
      <x:c r="L170" s="24"/>
      <x:c r="M170" s="24"/>
      <x:c r="N170" s="22"/>
      <x:c r="O170" s="24"/>
      <x:c r="P170" s="22"/>
      <x:c r="Q170" s="28" t="str">
        <x:f>IF(C170="","",IF(N170&lt;&gt;"","CHIUSO",IF(H170&lt;&gt;"","APERTO","SEGNALE")))</x:f>
      </x:c>
      <x:c r="R170" s="30" t="str">
        <x:f>IF(OR(I170="",O170="",J170=""),"",((O170-I170)*J170))</x:f>
      </x:c>
      <x:c r="S170" s="32" t="str">
        <x:f>IF(OR(I170="",O170=""),"",(O170/I170)-1)</x:f>
      </x:c>
      <x:c r="T170" s="34" t="str">
        <x:f>IF(OR(I170="",O170="",K170="",I170=K170),"",(O170-I170)/(I170-K170))</x:f>
      </x:c>
      <x:c r="U170" s="26"/>
      <x:c r="V170" s="26"/>
      <x:c r="W170" s="24"/>
      <x:c r="X170" s="22"/>
    </x:row>
    <x:row r="171" ht="20" customHeight="1">
      <x:c r="A171" s="28" t="str">
        <x:f>IF(C171="","",ROW()-1)</x:f>
      </x:c>
      <x:c r="B171" s="22"/>
      <x:c r="C171" s="22"/>
      <x:c r="D171" s="22"/>
      <x:c r="E171" s="22"/>
      <x:c r="F171" s="22"/>
      <x:c r="G171" s="24"/>
      <x:c r="H171" s="22"/>
      <x:c r="I171" s="24"/>
      <x:c r="J171" s="26"/>
      <x:c r="K171" s="24"/>
      <x:c r="L171" s="24"/>
      <x:c r="M171" s="24"/>
      <x:c r="N171" s="22"/>
      <x:c r="O171" s="24"/>
      <x:c r="P171" s="22"/>
      <x:c r="Q171" s="28" t="str">
        <x:f>IF(C171="","",IF(N171&lt;&gt;"","CHIUSO",IF(H171&lt;&gt;"","APERTO","SEGNALE")))</x:f>
      </x:c>
      <x:c r="R171" s="30" t="str">
        <x:f>IF(OR(I171="",O171="",J171=""),"",((O171-I171)*J171))</x:f>
      </x:c>
      <x:c r="S171" s="32" t="str">
        <x:f>IF(OR(I171="",O171=""),"",(O171/I171)-1)</x:f>
      </x:c>
      <x:c r="T171" s="34" t="str">
        <x:f>IF(OR(I171="",O171="",K171="",I171=K171),"",(O171-I171)/(I171-K171))</x:f>
      </x:c>
      <x:c r="U171" s="26"/>
      <x:c r="V171" s="26"/>
      <x:c r="W171" s="24"/>
      <x:c r="X171" s="22"/>
    </x:row>
    <x:row r="172" ht="20" customHeight="1">
      <x:c r="A172" s="28" t="str">
        <x:f>IF(C172="","",ROW()-1)</x:f>
      </x:c>
      <x:c r="B172" s="22"/>
      <x:c r="C172" s="22"/>
      <x:c r="D172" s="22"/>
      <x:c r="E172" s="22"/>
      <x:c r="F172" s="22"/>
      <x:c r="G172" s="24"/>
      <x:c r="H172" s="22"/>
      <x:c r="I172" s="24"/>
      <x:c r="J172" s="26"/>
      <x:c r="K172" s="24"/>
      <x:c r="L172" s="24"/>
      <x:c r="M172" s="24"/>
      <x:c r="N172" s="22"/>
      <x:c r="O172" s="24"/>
      <x:c r="P172" s="22"/>
      <x:c r="Q172" s="28" t="str">
        <x:f>IF(C172="","",IF(N172&lt;&gt;"","CHIUSO",IF(H172&lt;&gt;"","APERTO","SEGNALE")))</x:f>
      </x:c>
      <x:c r="R172" s="30" t="str">
        <x:f>IF(OR(I172="",O172="",J172=""),"",((O172-I172)*J172))</x:f>
      </x:c>
      <x:c r="S172" s="32" t="str">
        <x:f>IF(OR(I172="",O172=""),"",(O172/I172)-1)</x:f>
      </x:c>
      <x:c r="T172" s="34" t="str">
        <x:f>IF(OR(I172="",O172="",K172="",I172=K172),"",(O172-I172)/(I172-K172))</x:f>
      </x:c>
      <x:c r="U172" s="26"/>
      <x:c r="V172" s="26"/>
      <x:c r="W172" s="24"/>
      <x:c r="X172" s="22"/>
    </x:row>
    <x:row r="173" ht="20" customHeight="1">
      <x:c r="A173" s="28" t="str">
        <x:f>IF(C173="","",ROW()-1)</x:f>
      </x:c>
      <x:c r="B173" s="22"/>
      <x:c r="C173" s="22"/>
      <x:c r="D173" s="22"/>
      <x:c r="E173" s="22"/>
      <x:c r="F173" s="22"/>
      <x:c r="G173" s="24"/>
      <x:c r="H173" s="22"/>
      <x:c r="I173" s="24"/>
      <x:c r="J173" s="26"/>
      <x:c r="K173" s="24"/>
      <x:c r="L173" s="24"/>
      <x:c r="M173" s="24"/>
      <x:c r="N173" s="22"/>
      <x:c r="O173" s="24"/>
      <x:c r="P173" s="22"/>
      <x:c r="Q173" s="28" t="str">
        <x:f>IF(C173="","",IF(N173&lt;&gt;"","CHIUSO",IF(H173&lt;&gt;"","APERTO","SEGNALE")))</x:f>
      </x:c>
      <x:c r="R173" s="30" t="str">
        <x:f>IF(OR(I173="",O173="",J173=""),"",((O173-I173)*J173))</x:f>
      </x:c>
      <x:c r="S173" s="32" t="str">
        <x:f>IF(OR(I173="",O173=""),"",(O173/I173)-1)</x:f>
      </x:c>
      <x:c r="T173" s="34" t="str">
        <x:f>IF(OR(I173="",O173="",K173="",I173=K173),"",(O173-I173)/(I173-K173))</x:f>
      </x:c>
      <x:c r="U173" s="26"/>
      <x:c r="V173" s="26"/>
      <x:c r="W173" s="24"/>
      <x:c r="X173" s="22"/>
    </x:row>
    <x:row r="174" ht="20" customHeight="1">
      <x:c r="A174" s="28" t="str">
        <x:f>IF(C174="","",ROW()-1)</x:f>
      </x:c>
      <x:c r="B174" s="22"/>
      <x:c r="C174" s="22"/>
      <x:c r="D174" s="22"/>
      <x:c r="E174" s="22"/>
      <x:c r="F174" s="22"/>
      <x:c r="G174" s="24"/>
      <x:c r="H174" s="22"/>
      <x:c r="I174" s="24"/>
      <x:c r="J174" s="26"/>
      <x:c r="K174" s="24"/>
      <x:c r="L174" s="24"/>
      <x:c r="M174" s="24"/>
      <x:c r="N174" s="22"/>
      <x:c r="O174" s="24"/>
      <x:c r="P174" s="22"/>
      <x:c r="Q174" s="28" t="str">
        <x:f>IF(C174="","",IF(N174&lt;&gt;"","CHIUSO",IF(H174&lt;&gt;"","APERTO","SEGNALE")))</x:f>
      </x:c>
      <x:c r="R174" s="30" t="str">
        <x:f>IF(OR(I174="",O174="",J174=""),"",((O174-I174)*J174))</x:f>
      </x:c>
      <x:c r="S174" s="32" t="str">
        <x:f>IF(OR(I174="",O174=""),"",(O174/I174)-1)</x:f>
      </x:c>
      <x:c r="T174" s="34" t="str">
        <x:f>IF(OR(I174="",O174="",K174="",I174=K174),"",(O174-I174)/(I174-K174))</x:f>
      </x:c>
      <x:c r="U174" s="26"/>
      <x:c r="V174" s="26"/>
      <x:c r="W174" s="24"/>
      <x:c r="X174" s="22"/>
    </x:row>
    <x:row r="175" ht="20" customHeight="1">
      <x:c r="A175" s="28" t="str">
        <x:f>IF(C175="","",ROW()-1)</x:f>
      </x:c>
      <x:c r="B175" s="22"/>
      <x:c r="C175" s="22"/>
      <x:c r="D175" s="22"/>
      <x:c r="E175" s="22"/>
      <x:c r="F175" s="22"/>
      <x:c r="G175" s="24"/>
      <x:c r="H175" s="22"/>
      <x:c r="I175" s="24"/>
      <x:c r="J175" s="26"/>
      <x:c r="K175" s="24"/>
      <x:c r="L175" s="24"/>
      <x:c r="M175" s="24"/>
      <x:c r="N175" s="22"/>
      <x:c r="O175" s="24"/>
      <x:c r="P175" s="22"/>
      <x:c r="Q175" s="28" t="str">
        <x:f>IF(C175="","",IF(N175&lt;&gt;"","CHIUSO",IF(H175&lt;&gt;"","APERTO","SEGNALE")))</x:f>
      </x:c>
      <x:c r="R175" s="30" t="str">
        <x:f>IF(OR(I175="",O175="",J175=""),"",((O175-I175)*J175))</x:f>
      </x:c>
      <x:c r="S175" s="32" t="str">
        <x:f>IF(OR(I175="",O175=""),"",(O175/I175)-1)</x:f>
      </x:c>
      <x:c r="T175" s="34" t="str">
        <x:f>IF(OR(I175="",O175="",K175="",I175=K175),"",(O175-I175)/(I175-K175))</x:f>
      </x:c>
      <x:c r="U175" s="26"/>
      <x:c r="V175" s="26"/>
      <x:c r="W175" s="24"/>
      <x:c r="X175" s="22"/>
    </x:row>
    <x:row r="176" ht="20" customHeight="1">
      <x:c r="A176" s="28" t="str">
        <x:f>IF(C176="","",ROW()-1)</x:f>
      </x:c>
      <x:c r="B176" s="22"/>
      <x:c r="C176" s="22"/>
      <x:c r="D176" s="22"/>
      <x:c r="E176" s="22"/>
      <x:c r="F176" s="22"/>
      <x:c r="G176" s="24"/>
      <x:c r="H176" s="22"/>
      <x:c r="I176" s="24"/>
      <x:c r="J176" s="26"/>
      <x:c r="K176" s="24"/>
      <x:c r="L176" s="24"/>
      <x:c r="M176" s="24"/>
      <x:c r="N176" s="22"/>
      <x:c r="O176" s="24"/>
      <x:c r="P176" s="22"/>
      <x:c r="Q176" s="28" t="str">
        <x:f>IF(C176="","",IF(N176&lt;&gt;"","CHIUSO",IF(H176&lt;&gt;"","APERTO","SEGNALE")))</x:f>
      </x:c>
      <x:c r="R176" s="30" t="str">
        <x:f>IF(OR(I176="",O176="",J176=""),"",((O176-I176)*J176))</x:f>
      </x:c>
      <x:c r="S176" s="32" t="str">
        <x:f>IF(OR(I176="",O176=""),"",(O176/I176)-1)</x:f>
      </x:c>
      <x:c r="T176" s="34" t="str">
        <x:f>IF(OR(I176="",O176="",K176="",I176=K176),"",(O176-I176)/(I176-K176))</x:f>
      </x:c>
      <x:c r="U176" s="26"/>
      <x:c r="V176" s="26"/>
      <x:c r="W176" s="24"/>
      <x:c r="X176" s="22"/>
    </x:row>
    <x:row r="177" ht="20" customHeight="1">
      <x:c r="A177" s="28" t="str">
        <x:f>IF(C177="","",ROW()-1)</x:f>
      </x:c>
      <x:c r="B177" s="22"/>
      <x:c r="C177" s="22"/>
      <x:c r="D177" s="22"/>
      <x:c r="E177" s="22"/>
      <x:c r="F177" s="22"/>
      <x:c r="G177" s="24"/>
      <x:c r="H177" s="22"/>
      <x:c r="I177" s="24"/>
      <x:c r="J177" s="26"/>
      <x:c r="K177" s="24"/>
      <x:c r="L177" s="24"/>
      <x:c r="M177" s="24"/>
      <x:c r="N177" s="22"/>
      <x:c r="O177" s="24"/>
      <x:c r="P177" s="22"/>
      <x:c r="Q177" s="28" t="str">
        <x:f>IF(C177="","",IF(N177&lt;&gt;"","CHIUSO",IF(H177&lt;&gt;"","APERTO","SEGNALE")))</x:f>
      </x:c>
      <x:c r="R177" s="30" t="str">
        <x:f>IF(OR(I177="",O177="",J177=""),"",((O177-I177)*J177))</x:f>
      </x:c>
      <x:c r="S177" s="32" t="str">
        <x:f>IF(OR(I177="",O177=""),"",(O177/I177)-1)</x:f>
      </x:c>
      <x:c r="T177" s="34" t="str">
        <x:f>IF(OR(I177="",O177="",K177="",I177=K177),"",(O177-I177)/(I177-K177))</x:f>
      </x:c>
      <x:c r="U177" s="26"/>
      <x:c r="V177" s="26"/>
      <x:c r="W177" s="24"/>
      <x:c r="X177" s="22"/>
    </x:row>
    <x:row r="178" ht="20" customHeight="1">
      <x:c r="A178" s="28" t="str">
        <x:f>IF(C178="","",ROW()-1)</x:f>
      </x:c>
      <x:c r="B178" s="22"/>
      <x:c r="C178" s="22"/>
      <x:c r="D178" s="22"/>
      <x:c r="E178" s="22"/>
      <x:c r="F178" s="22"/>
      <x:c r="G178" s="24"/>
      <x:c r="H178" s="22"/>
      <x:c r="I178" s="24"/>
      <x:c r="J178" s="26"/>
      <x:c r="K178" s="24"/>
      <x:c r="L178" s="24"/>
      <x:c r="M178" s="24"/>
      <x:c r="N178" s="22"/>
      <x:c r="O178" s="24"/>
      <x:c r="P178" s="22"/>
      <x:c r="Q178" s="28" t="str">
        <x:f>IF(C178="","",IF(N178&lt;&gt;"","CHIUSO",IF(H178&lt;&gt;"","APERTO","SEGNALE")))</x:f>
      </x:c>
      <x:c r="R178" s="30" t="str">
        <x:f>IF(OR(I178="",O178="",J178=""),"",((O178-I178)*J178))</x:f>
      </x:c>
      <x:c r="S178" s="32" t="str">
        <x:f>IF(OR(I178="",O178=""),"",(O178/I178)-1)</x:f>
      </x:c>
      <x:c r="T178" s="34" t="str">
        <x:f>IF(OR(I178="",O178="",K178="",I178=K178),"",(O178-I178)/(I178-K178))</x:f>
      </x:c>
      <x:c r="U178" s="26"/>
      <x:c r="V178" s="26"/>
      <x:c r="W178" s="24"/>
      <x:c r="X178" s="22"/>
    </x:row>
    <x:row r="179" ht="20" customHeight="1">
      <x:c r="A179" s="28" t="str">
        <x:f>IF(C179="","",ROW()-1)</x:f>
      </x:c>
      <x:c r="B179" s="22"/>
      <x:c r="C179" s="22"/>
      <x:c r="D179" s="22"/>
      <x:c r="E179" s="22"/>
      <x:c r="F179" s="22"/>
      <x:c r="G179" s="24"/>
      <x:c r="H179" s="22"/>
      <x:c r="I179" s="24"/>
      <x:c r="J179" s="26"/>
      <x:c r="K179" s="24"/>
      <x:c r="L179" s="24"/>
      <x:c r="M179" s="24"/>
      <x:c r="N179" s="22"/>
      <x:c r="O179" s="24"/>
      <x:c r="P179" s="22"/>
      <x:c r="Q179" s="28" t="str">
        <x:f>IF(C179="","",IF(N179&lt;&gt;"","CHIUSO",IF(H179&lt;&gt;"","APERTO","SEGNALE")))</x:f>
      </x:c>
      <x:c r="R179" s="30" t="str">
        <x:f>IF(OR(I179="",O179="",J179=""),"",((O179-I179)*J179))</x:f>
      </x:c>
      <x:c r="S179" s="32" t="str">
        <x:f>IF(OR(I179="",O179=""),"",(O179/I179)-1)</x:f>
      </x:c>
      <x:c r="T179" s="34" t="str">
        <x:f>IF(OR(I179="",O179="",K179="",I179=K179),"",(O179-I179)/(I179-K179))</x:f>
      </x:c>
      <x:c r="U179" s="26"/>
      <x:c r="V179" s="26"/>
      <x:c r="W179" s="24"/>
      <x:c r="X179" s="22"/>
    </x:row>
    <x:row r="180" ht="20" customHeight="1">
      <x:c r="A180" s="28" t="str">
        <x:f>IF(C180="","",ROW()-1)</x:f>
      </x:c>
      <x:c r="B180" s="22"/>
      <x:c r="C180" s="22"/>
      <x:c r="D180" s="22"/>
      <x:c r="E180" s="22"/>
      <x:c r="F180" s="22"/>
      <x:c r="G180" s="24"/>
      <x:c r="H180" s="22"/>
      <x:c r="I180" s="24"/>
      <x:c r="J180" s="26"/>
      <x:c r="K180" s="24"/>
      <x:c r="L180" s="24"/>
      <x:c r="M180" s="24"/>
      <x:c r="N180" s="22"/>
      <x:c r="O180" s="24"/>
      <x:c r="P180" s="22"/>
      <x:c r="Q180" s="28" t="str">
        <x:f>IF(C180="","",IF(N180&lt;&gt;"","CHIUSO",IF(H180&lt;&gt;"","APERTO","SEGNALE")))</x:f>
      </x:c>
      <x:c r="R180" s="30" t="str">
        <x:f>IF(OR(I180="",O180="",J180=""),"",((O180-I180)*J180))</x:f>
      </x:c>
      <x:c r="S180" s="32" t="str">
        <x:f>IF(OR(I180="",O180=""),"",(O180/I180)-1)</x:f>
      </x:c>
      <x:c r="T180" s="34" t="str">
        <x:f>IF(OR(I180="",O180="",K180="",I180=K180),"",(O180-I180)/(I180-K180))</x:f>
      </x:c>
      <x:c r="U180" s="26"/>
      <x:c r="V180" s="26"/>
      <x:c r="W180" s="24"/>
      <x:c r="X180" s="22"/>
    </x:row>
    <x:row r="181" ht="20" customHeight="1">
      <x:c r="A181" s="28" t="str">
        <x:f>IF(C181="","",ROW()-1)</x:f>
      </x:c>
      <x:c r="B181" s="22"/>
      <x:c r="C181" s="22"/>
      <x:c r="D181" s="22"/>
      <x:c r="E181" s="22"/>
      <x:c r="F181" s="22"/>
      <x:c r="G181" s="24"/>
      <x:c r="H181" s="22"/>
      <x:c r="I181" s="24"/>
      <x:c r="J181" s="26"/>
      <x:c r="K181" s="24"/>
      <x:c r="L181" s="24"/>
      <x:c r="M181" s="24"/>
      <x:c r="N181" s="22"/>
      <x:c r="O181" s="24"/>
      <x:c r="P181" s="22"/>
      <x:c r="Q181" s="28" t="str">
        <x:f>IF(C181="","",IF(N181&lt;&gt;"","CHIUSO",IF(H181&lt;&gt;"","APERTO","SEGNALE")))</x:f>
      </x:c>
      <x:c r="R181" s="30" t="str">
        <x:f>IF(OR(I181="",O181="",J181=""),"",((O181-I181)*J181))</x:f>
      </x:c>
      <x:c r="S181" s="32" t="str">
        <x:f>IF(OR(I181="",O181=""),"",(O181/I181)-1)</x:f>
      </x:c>
      <x:c r="T181" s="34" t="str">
        <x:f>IF(OR(I181="",O181="",K181="",I181=K181),"",(O181-I181)/(I181-K181))</x:f>
      </x:c>
      <x:c r="U181" s="26"/>
      <x:c r="V181" s="26"/>
      <x:c r="W181" s="24"/>
      <x:c r="X181" s="22"/>
    </x:row>
    <x:row r="182" ht="20" customHeight="1">
      <x:c r="A182" s="28" t="str">
        <x:f>IF(C182="","",ROW()-1)</x:f>
      </x:c>
      <x:c r="B182" s="22"/>
      <x:c r="C182" s="22"/>
      <x:c r="D182" s="22"/>
      <x:c r="E182" s="22"/>
      <x:c r="F182" s="22"/>
      <x:c r="G182" s="24"/>
      <x:c r="H182" s="22"/>
      <x:c r="I182" s="24"/>
      <x:c r="J182" s="26"/>
      <x:c r="K182" s="24"/>
      <x:c r="L182" s="24"/>
      <x:c r="M182" s="24"/>
      <x:c r="N182" s="22"/>
      <x:c r="O182" s="24"/>
      <x:c r="P182" s="22"/>
      <x:c r="Q182" s="28" t="str">
        <x:f>IF(C182="","",IF(N182&lt;&gt;"","CHIUSO",IF(H182&lt;&gt;"","APERTO","SEGNALE")))</x:f>
      </x:c>
      <x:c r="R182" s="30" t="str">
        <x:f>IF(OR(I182="",O182="",J182=""),"",((O182-I182)*J182))</x:f>
      </x:c>
      <x:c r="S182" s="32" t="str">
        <x:f>IF(OR(I182="",O182=""),"",(O182/I182)-1)</x:f>
      </x:c>
      <x:c r="T182" s="34" t="str">
        <x:f>IF(OR(I182="",O182="",K182="",I182=K182),"",(O182-I182)/(I182-K182))</x:f>
      </x:c>
      <x:c r="U182" s="26"/>
      <x:c r="V182" s="26"/>
      <x:c r="W182" s="24"/>
      <x:c r="X182" s="22"/>
    </x:row>
    <x:row r="183" ht="20" customHeight="1">
      <x:c r="A183" s="28" t="str">
        <x:f>IF(C183="","",ROW()-1)</x:f>
      </x:c>
      <x:c r="B183" s="22"/>
      <x:c r="C183" s="22"/>
      <x:c r="D183" s="22"/>
      <x:c r="E183" s="22"/>
      <x:c r="F183" s="22"/>
      <x:c r="G183" s="24"/>
      <x:c r="H183" s="22"/>
      <x:c r="I183" s="24"/>
      <x:c r="J183" s="26"/>
      <x:c r="K183" s="24"/>
      <x:c r="L183" s="24"/>
      <x:c r="M183" s="24"/>
      <x:c r="N183" s="22"/>
      <x:c r="O183" s="24"/>
      <x:c r="P183" s="22"/>
      <x:c r="Q183" s="28" t="str">
        <x:f>IF(C183="","",IF(N183&lt;&gt;"","CHIUSO",IF(H183&lt;&gt;"","APERTO","SEGNALE")))</x:f>
      </x:c>
      <x:c r="R183" s="30" t="str">
        <x:f>IF(OR(I183="",O183="",J183=""),"",((O183-I183)*J183))</x:f>
      </x:c>
      <x:c r="S183" s="32" t="str">
        <x:f>IF(OR(I183="",O183=""),"",(O183/I183)-1)</x:f>
      </x:c>
      <x:c r="T183" s="34" t="str">
        <x:f>IF(OR(I183="",O183="",K183="",I183=K183),"",(O183-I183)/(I183-K183))</x:f>
      </x:c>
      <x:c r="U183" s="26"/>
      <x:c r="V183" s="26"/>
      <x:c r="W183" s="24"/>
      <x:c r="X183" s="22"/>
    </x:row>
    <x:row r="184" ht="20" customHeight="1">
      <x:c r="A184" s="28" t="str">
        <x:f>IF(C184="","",ROW()-1)</x:f>
      </x:c>
      <x:c r="B184" s="22"/>
      <x:c r="C184" s="22"/>
      <x:c r="D184" s="22"/>
      <x:c r="E184" s="22"/>
      <x:c r="F184" s="22"/>
      <x:c r="G184" s="24"/>
      <x:c r="H184" s="22"/>
      <x:c r="I184" s="24"/>
      <x:c r="J184" s="26"/>
      <x:c r="K184" s="24"/>
      <x:c r="L184" s="24"/>
      <x:c r="M184" s="24"/>
      <x:c r="N184" s="22"/>
      <x:c r="O184" s="24"/>
      <x:c r="P184" s="22"/>
      <x:c r="Q184" s="28" t="str">
        <x:f>IF(C184="","",IF(N184&lt;&gt;"","CHIUSO",IF(H184&lt;&gt;"","APERTO","SEGNALE")))</x:f>
      </x:c>
      <x:c r="R184" s="30" t="str">
        <x:f>IF(OR(I184="",O184="",J184=""),"",((O184-I184)*J184))</x:f>
      </x:c>
      <x:c r="S184" s="32" t="str">
        <x:f>IF(OR(I184="",O184=""),"",(O184/I184)-1)</x:f>
      </x:c>
      <x:c r="T184" s="34" t="str">
        <x:f>IF(OR(I184="",O184="",K184="",I184=K184),"",(O184-I184)/(I184-K184))</x:f>
      </x:c>
      <x:c r="U184" s="26"/>
      <x:c r="V184" s="26"/>
      <x:c r="W184" s="24"/>
      <x:c r="X184" s="22"/>
    </x:row>
    <x:row r="185" ht="20" customHeight="1">
      <x:c r="A185" s="28" t="str">
        <x:f>IF(C185="","",ROW()-1)</x:f>
      </x:c>
      <x:c r="B185" s="22"/>
      <x:c r="C185" s="22"/>
      <x:c r="D185" s="22"/>
      <x:c r="E185" s="22"/>
      <x:c r="F185" s="22"/>
      <x:c r="G185" s="24"/>
      <x:c r="H185" s="22"/>
      <x:c r="I185" s="24"/>
      <x:c r="J185" s="26"/>
      <x:c r="K185" s="24"/>
      <x:c r="L185" s="24"/>
      <x:c r="M185" s="24"/>
      <x:c r="N185" s="22"/>
      <x:c r="O185" s="24"/>
      <x:c r="P185" s="22"/>
      <x:c r="Q185" s="28" t="str">
        <x:f>IF(C185="","",IF(N185&lt;&gt;"","CHIUSO",IF(H185&lt;&gt;"","APERTO","SEGNALE")))</x:f>
      </x:c>
      <x:c r="R185" s="30" t="str">
        <x:f>IF(OR(I185="",O185="",J185=""),"",((O185-I185)*J185))</x:f>
      </x:c>
      <x:c r="S185" s="32" t="str">
        <x:f>IF(OR(I185="",O185=""),"",(O185/I185)-1)</x:f>
      </x:c>
      <x:c r="T185" s="34" t="str">
        <x:f>IF(OR(I185="",O185="",K185="",I185=K185),"",(O185-I185)/(I185-K185))</x:f>
      </x:c>
      <x:c r="U185" s="26"/>
      <x:c r="V185" s="26"/>
      <x:c r="W185" s="24"/>
      <x:c r="X185" s="22"/>
    </x:row>
    <x:row r="186" ht="20" customHeight="1">
      <x:c r="A186" s="28" t="str">
        <x:f>IF(C186="","",ROW()-1)</x:f>
      </x:c>
      <x:c r="B186" s="22"/>
      <x:c r="C186" s="22"/>
      <x:c r="D186" s="22"/>
      <x:c r="E186" s="22"/>
      <x:c r="F186" s="22"/>
      <x:c r="G186" s="24"/>
      <x:c r="H186" s="22"/>
      <x:c r="I186" s="24"/>
      <x:c r="J186" s="26"/>
      <x:c r="K186" s="24"/>
      <x:c r="L186" s="24"/>
      <x:c r="M186" s="24"/>
      <x:c r="N186" s="22"/>
      <x:c r="O186" s="24"/>
      <x:c r="P186" s="22"/>
      <x:c r="Q186" s="28" t="str">
        <x:f>IF(C186="","",IF(N186&lt;&gt;"","CHIUSO",IF(H186&lt;&gt;"","APERTO","SEGNALE")))</x:f>
      </x:c>
      <x:c r="R186" s="30" t="str">
        <x:f>IF(OR(I186="",O186="",J186=""),"",((O186-I186)*J186))</x:f>
      </x:c>
      <x:c r="S186" s="32" t="str">
        <x:f>IF(OR(I186="",O186=""),"",(O186/I186)-1)</x:f>
      </x:c>
      <x:c r="T186" s="34" t="str">
        <x:f>IF(OR(I186="",O186="",K186="",I186=K186),"",(O186-I186)/(I186-K186))</x:f>
      </x:c>
      <x:c r="U186" s="26"/>
      <x:c r="V186" s="26"/>
      <x:c r="W186" s="24"/>
      <x:c r="X186" s="22"/>
    </x:row>
    <x:row r="187" ht="20" customHeight="1">
      <x:c r="A187" s="28" t="str">
        <x:f>IF(C187="","",ROW()-1)</x:f>
      </x:c>
      <x:c r="B187" s="22"/>
      <x:c r="C187" s="22"/>
      <x:c r="D187" s="22"/>
      <x:c r="E187" s="22"/>
      <x:c r="F187" s="22"/>
      <x:c r="G187" s="24"/>
      <x:c r="H187" s="22"/>
      <x:c r="I187" s="24"/>
      <x:c r="J187" s="26"/>
      <x:c r="K187" s="24"/>
      <x:c r="L187" s="24"/>
      <x:c r="M187" s="24"/>
      <x:c r="N187" s="22"/>
      <x:c r="O187" s="24"/>
      <x:c r="P187" s="22"/>
      <x:c r="Q187" s="28" t="str">
        <x:f>IF(C187="","",IF(N187&lt;&gt;"","CHIUSO",IF(H187&lt;&gt;"","APERTO","SEGNALE")))</x:f>
      </x:c>
      <x:c r="R187" s="30" t="str">
        <x:f>IF(OR(I187="",O187="",J187=""),"",((O187-I187)*J187))</x:f>
      </x:c>
      <x:c r="S187" s="32" t="str">
        <x:f>IF(OR(I187="",O187=""),"",(O187/I187)-1)</x:f>
      </x:c>
      <x:c r="T187" s="34" t="str">
        <x:f>IF(OR(I187="",O187="",K187="",I187=K187),"",(O187-I187)/(I187-K187))</x:f>
      </x:c>
      <x:c r="U187" s="26"/>
      <x:c r="V187" s="26"/>
      <x:c r="W187" s="24"/>
      <x:c r="X187" s="22"/>
    </x:row>
    <x:row r="188" ht="20" customHeight="1">
      <x:c r="A188" s="28" t="str">
        <x:f>IF(C188="","",ROW()-1)</x:f>
      </x:c>
      <x:c r="B188" s="22"/>
      <x:c r="C188" s="22"/>
      <x:c r="D188" s="22"/>
      <x:c r="E188" s="22"/>
      <x:c r="F188" s="22"/>
      <x:c r="G188" s="24"/>
      <x:c r="H188" s="22"/>
      <x:c r="I188" s="24"/>
      <x:c r="J188" s="26"/>
      <x:c r="K188" s="24"/>
      <x:c r="L188" s="24"/>
      <x:c r="M188" s="24"/>
      <x:c r="N188" s="22"/>
      <x:c r="O188" s="24"/>
      <x:c r="P188" s="22"/>
      <x:c r="Q188" s="28" t="str">
        <x:f>IF(C188="","",IF(N188&lt;&gt;"","CHIUSO",IF(H188&lt;&gt;"","APERTO","SEGNALE")))</x:f>
      </x:c>
      <x:c r="R188" s="30" t="str">
        <x:f>IF(OR(I188="",O188="",J188=""),"",((O188-I188)*J188))</x:f>
      </x:c>
      <x:c r="S188" s="32" t="str">
        <x:f>IF(OR(I188="",O188=""),"",(O188/I188)-1)</x:f>
      </x:c>
      <x:c r="T188" s="34" t="str">
        <x:f>IF(OR(I188="",O188="",K188="",I188=K188),"",(O188-I188)/(I188-K188))</x:f>
      </x:c>
      <x:c r="U188" s="26"/>
      <x:c r="V188" s="26"/>
      <x:c r="W188" s="24"/>
      <x:c r="X188" s="22"/>
    </x:row>
    <x:row r="189" ht="20" customHeight="1">
      <x:c r="A189" s="28" t="str">
        <x:f>IF(C189="","",ROW()-1)</x:f>
      </x:c>
      <x:c r="B189" s="22"/>
      <x:c r="C189" s="22"/>
      <x:c r="D189" s="22"/>
      <x:c r="E189" s="22"/>
      <x:c r="F189" s="22"/>
      <x:c r="G189" s="24"/>
      <x:c r="H189" s="22"/>
      <x:c r="I189" s="24"/>
      <x:c r="J189" s="26"/>
      <x:c r="K189" s="24"/>
      <x:c r="L189" s="24"/>
      <x:c r="M189" s="24"/>
      <x:c r="N189" s="22"/>
      <x:c r="O189" s="24"/>
      <x:c r="P189" s="22"/>
      <x:c r="Q189" s="28" t="str">
        <x:f>IF(C189="","",IF(N189&lt;&gt;"","CHIUSO",IF(H189&lt;&gt;"","APERTO","SEGNALE")))</x:f>
      </x:c>
      <x:c r="R189" s="30" t="str">
        <x:f>IF(OR(I189="",O189="",J189=""),"",((O189-I189)*J189))</x:f>
      </x:c>
      <x:c r="S189" s="32" t="str">
        <x:f>IF(OR(I189="",O189=""),"",(O189/I189)-1)</x:f>
      </x:c>
      <x:c r="T189" s="34" t="str">
        <x:f>IF(OR(I189="",O189="",K189="",I189=K189),"",(O189-I189)/(I189-K189))</x:f>
      </x:c>
      <x:c r="U189" s="26"/>
      <x:c r="V189" s="26"/>
      <x:c r="W189" s="24"/>
      <x:c r="X189" s="22"/>
    </x:row>
    <x:row r="190" ht="20" customHeight="1">
      <x:c r="A190" s="28" t="str">
        <x:f>IF(C190="","",ROW()-1)</x:f>
      </x:c>
      <x:c r="B190" s="22"/>
      <x:c r="C190" s="22"/>
      <x:c r="D190" s="22"/>
      <x:c r="E190" s="22"/>
      <x:c r="F190" s="22"/>
      <x:c r="G190" s="24"/>
      <x:c r="H190" s="22"/>
      <x:c r="I190" s="24"/>
      <x:c r="J190" s="26"/>
      <x:c r="K190" s="24"/>
      <x:c r="L190" s="24"/>
      <x:c r="M190" s="24"/>
      <x:c r="N190" s="22"/>
      <x:c r="O190" s="24"/>
      <x:c r="P190" s="22"/>
      <x:c r="Q190" s="28" t="str">
        <x:f>IF(C190="","",IF(N190&lt;&gt;"","CHIUSO",IF(H190&lt;&gt;"","APERTO","SEGNALE")))</x:f>
      </x:c>
      <x:c r="R190" s="30" t="str">
        <x:f>IF(OR(I190="",O190="",J190=""),"",((O190-I190)*J190))</x:f>
      </x:c>
      <x:c r="S190" s="32" t="str">
        <x:f>IF(OR(I190="",O190=""),"",(O190/I190)-1)</x:f>
      </x:c>
      <x:c r="T190" s="34" t="str">
        <x:f>IF(OR(I190="",O190="",K190="",I190=K190),"",(O190-I190)/(I190-K190))</x:f>
      </x:c>
      <x:c r="U190" s="26"/>
      <x:c r="V190" s="26"/>
      <x:c r="W190" s="24"/>
      <x:c r="X190" s="22"/>
    </x:row>
    <x:row r="191" ht="20" customHeight="1">
      <x:c r="A191" s="28" t="str">
        <x:f>IF(C191="","",ROW()-1)</x:f>
      </x:c>
      <x:c r="B191" s="22"/>
      <x:c r="C191" s="22"/>
      <x:c r="D191" s="22"/>
      <x:c r="E191" s="22"/>
      <x:c r="F191" s="22"/>
      <x:c r="G191" s="24"/>
      <x:c r="H191" s="22"/>
      <x:c r="I191" s="24"/>
      <x:c r="J191" s="26"/>
      <x:c r="K191" s="24"/>
      <x:c r="L191" s="24"/>
      <x:c r="M191" s="24"/>
      <x:c r="N191" s="22"/>
      <x:c r="O191" s="24"/>
      <x:c r="P191" s="22"/>
      <x:c r="Q191" s="28" t="str">
        <x:f>IF(C191="","",IF(N191&lt;&gt;"","CHIUSO",IF(H191&lt;&gt;"","APERTO","SEGNALE")))</x:f>
      </x:c>
      <x:c r="R191" s="30" t="str">
        <x:f>IF(OR(I191="",O191="",J191=""),"",((O191-I191)*J191))</x:f>
      </x:c>
      <x:c r="S191" s="32" t="str">
        <x:f>IF(OR(I191="",O191=""),"",(O191/I191)-1)</x:f>
      </x:c>
      <x:c r="T191" s="34" t="str">
        <x:f>IF(OR(I191="",O191="",K191="",I191=K191),"",(O191-I191)/(I191-K191))</x:f>
      </x:c>
      <x:c r="U191" s="26"/>
      <x:c r="V191" s="26"/>
      <x:c r="W191" s="24"/>
      <x:c r="X191" s="22"/>
    </x:row>
    <x:row r="192" ht="20" customHeight="1">
      <x:c r="A192" s="28" t="str">
        <x:f>IF(C192="","",ROW()-1)</x:f>
      </x:c>
      <x:c r="B192" s="22"/>
      <x:c r="C192" s="22"/>
      <x:c r="D192" s="22"/>
      <x:c r="E192" s="22"/>
      <x:c r="F192" s="22"/>
      <x:c r="G192" s="24"/>
      <x:c r="H192" s="22"/>
      <x:c r="I192" s="24"/>
      <x:c r="J192" s="26"/>
      <x:c r="K192" s="24"/>
      <x:c r="L192" s="24"/>
      <x:c r="M192" s="24"/>
      <x:c r="N192" s="22"/>
      <x:c r="O192" s="24"/>
      <x:c r="P192" s="22"/>
      <x:c r="Q192" s="28" t="str">
        <x:f>IF(C192="","",IF(N192&lt;&gt;"","CHIUSO",IF(H192&lt;&gt;"","APERTO","SEGNALE")))</x:f>
      </x:c>
      <x:c r="R192" s="30" t="str">
        <x:f>IF(OR(I192="",O192="",J192=""),"",((O192-I192)*J192))</x:f>
      </x:c>
      <x:c r="S192" s="32" t="str">
        <x:f>IF(OR(I192="",O192=""),"",(O192/I192)-1)</x:f>
      </x:c>
      <x:c r="T192" s="34" t="str">
        <x:f>IF(OR(I192="",O192="",K192="",I192=K192),"",(O192-I192)/(I192-K192))</x:f>
      </x:c>
      <x:c r="U192" s="26"/>
      <x:c r="V192" s="26"/>
      <x:c r="W192" s="24"/>
      <x:c r="X192" s="22"/>
    </x:row>
    <x:row r="193" ht="20" customHeight="1">
      <x:c r="A193" s="28" t="str">
        <x:f>IF(C193="","",ROW()-1)</x:f>
      </x:c>
      <x:c r="B193" s="22"/>
      <x:c r="C193" s="22"/>
      <x:c r="D193" s="22"/>
      <x:c r="E193" s="22"/>
      <x:c r="F193" s="22"/>
      <x:c r="G193" s="24"/>
      <x:c r="H193" s="22"/>
      <x:c r="I193" s="24"/>
      <x:c r="J193" s="26"/>
      <x:c r="K193" s="24"/>
      <x:c r="L193" s="24"/>
      <x:c r="M193" s="24"/>
      <x:c r="N193" s="22"/>
      <x:c r="O193" s="24"/>
      <x:c r="P193" s="22"/>
      <x:c r="Q193" s="28" t="str">
        <x:f>IF(C193="","",IF(N193&lt;&gt;"","CHIUSO",IF(H193&lt;&gt;"","APERTO","SEGNALE")))</x:f>
      </x:c>
      <x:c r="R193" s="30" t="str">
        <x:f>IF(OR(I193="",O193="",J193=""),"",((O193-I193)*J193))</x:f>
      </x:c>
      <x:c r="S193" s="32" t="str">
        <x:f>IF(OR(I193="",O193=""),"",(O193/I193)-1)</x:f>
      </x:c>
      <x:c r="T193" s="34" t="str">
        <x:f>IF(OR(I193="",O193="",K193="",I193=K193),"",(O193-I193)/(I193-K193))</x:f>
      </x:c>
      <x:c r="U193" s="26"/>
      <x:c r="V193" s="26"/>
      <x:c r="W193" s="24"/>
      <x:c r="X193" s="22"/>
    </x:row>
    <x:row r="194" ht="20" customHeight="1">
      <x:c r="A194" s="28" t="str">
        <x:f>IF(C194="","",ROW()-1)</x:f>
      </x:c>
      <x:c r="B194" s="22"/>
      <x:c r="C194" s="22"/>
      <x:c r="D194" s="22"/>
      <x:c r="E194" s="22"/>
      <x:c r="F194" s="22"/>
      <x:c r="G194" s="24"/>
      <x:c r="H194" s="22"/>
      <x:c r="I194" s="24"/>
      <x:c r="J194" s="26"/>
      <x:c r="K194" s="24"/>
      <x:c r="L194" s="24"/>
      <x:c r="M194" s="24"/>
      <x:c r="N194" s="22"/>
      <x:c r="O194" s="24"/>
      <x:c r="P194" s="22"/>
      <x:c r="Q194" s="28" t="str">
        <x:f>IF(C194="","",IF(N194&lt;&gt;"","CHIUSO",IF(H194&lt;&gt;"","APERTO","SEGNALE")))</x:f>
      </x:c>
      <x:c r="R194" s="30" t="str">
        <x:f>IF(OR(I194="",O194="",J194=""),"",((O194-I194)*J194))</x:f>
      </x:c>
      <x:c r="S194" s="32" t="str">
        <x:f>IF(OR(I194="",O194=""),"",(O194/I194)-1)</x:f>
      </x:c>
      <x:c r="T194" s="34" t="str">
        <x:f>IF(OR(I194="",O194="",K194="",I194=K194),"",(O194-I194)/(I194-K194))</x:f>
      </x:c>
      <x:c r="U194" s="26"/>
      <x:c r="V194" s="26"/>
      <x:c r="W194" s="24"/>
      <x:c r="X194" s="22"/>
    </x:row>
    <x:row r="195" ht="20" customHeight="1">
      <x:c r="A195" s="28" t="str">
        <x:f>IF(C195="","",ROW()-1)</x:f>
      </x:c>
      <x:c r="B195" s="22"/>
      <x:c r="C195" s="22"/>
      <x:c r="D195" s="22"/>
      <x:c r="E195" s="22"/>
      <x:c r="F195" s="22"/>
      <x:c r="G195" s="24"/>
      <x:c r="H195" s="22"/>
      <x:c r="I195" s="24"/>
      <x:c r="J195" s="26"/>
      <x:c r="K195" s="24"/>
      <x:c r="L195" s="24"/>
      <x:c r="M195" s="24"/>
      <x:c r="N195" s="22"/>
      <x:c r="O195" s="24"/>
      <x:c r="P195" s="22"/>
      <x:c r="Q195" s="28" t="str">
        <x:f>IF(C195="","",IF(N195&lt;&gt;"","CHIUSO",IF(H195&lt;&gt;"","APERTO","SEGNALE")))</x:f>
      </x:c>
      <x:c r="R195" s="30" t="str">
        <x:f>IF(OR(I195="",O195="",J195=""),"",((O195-I195)*J195))</x:f>
      </x:c>
      <x:c r="S195" s="32" t="str">
        <x:f>IF(OR(I195="",O195=""),"",(O195/I195)-1)</x:f>
      </x:c>
      <x:c r="T195" s="34" t="str">
        <x:f>IF(OR(I195="",O195="",K195="",I195=K195),"",(O195-I195)/(I195-K195))</x:f>
      </x:c>
      <x:c r="U195" s="26"/>
      <x:c r="V195" s="26"/>
      <x:c r="W195" s="24"/>
      <x:c r="X195" s="22"/>
    </x:row>
    <x:row r="196" ht="20" customHeight="1">
      <x:c r="A196" s="28" t="str">
        <x:f>IF(C196="","",ROW()-1)</x:f>
      </x:c>
      <x:c r="B196" s="22"/>
      <x:c r="C196" s="22"/>
      <x:c r="D196" s="22"/>
      <x:c r="E196" s="22"/>
      <x:c r="F196" s="22"/>
      <x:c r="G196" s="24"/>
      <x:c r="H196" s="22"/>
      <x:c r="I196" s="24"/>
      <x:c r="J196" s="26"/>
      <x:c r="K196" s="24"/>
      <x:c r="L196" s="24"/>
      <x:c r="M196" s="24"/>
      <x:c r="N196" s="22"/>
      <x:c r="O196" s="24"/>
      <x:c r="P196" s="22"/>
      <x:c r="Q196" s="28" t="str">
        <x:f>IF(C196="","",IF(N196&lt;&gt;"","CHIUSO",IF(H196&lt;&gt;"","APERTO","SEGNALE")))</x:f>
      </x:c>
      <x:c r="R196" s="30" t="str">
        <x:f>IF(OR(I196="",O196="",J196=""),"",((O196-I196)*J196))</x:f>
      </x:c>
      <x:c r="S196" s="32" t="str">
        <x:f>IF(OR(I196="",O196=""),"",(O196/I196)-1)</x:f>
      </x:c>
      <x:c r="T196" s="34" t="str">
        <x:f>IF(OR(I196="",O196="",K196="",I196=K196),"",(O196-I196)/(I196-K196))</x:f>
      </x:c>
      <x:c r="U196" s="26"/>
      <x:c r="V196" s="26"/>
      <x:c r="W196" s="24"/>
      <x:c r="X196" s="22"/>
    </x:row>
    <x:row r="197" ht="20" customHeight="1">
      <x:c r="A197" s="28" t="str">
        <x:f>IF(C197="","",ROW()-1)</x:f>
      </x:c>
      <x:c r="B197" s="22"/>
      <x:c r="C197" s="22"/>
      <x:c r="D197" s="22"/>
      <x:c r="E197" s="22"/>
      <x:c r="F197" s="22"/>
      <x:c r="G197" s="24"/>
      <x:c r="H197" s="22"/>
      <x:c r="I197" s="24"/>
      <x:c r="J197" s="26"/>
      <x:c r="K197" s="24"/>
      <x:c r="L197" s="24"/>
      <x:c r="M197" s="24"/>
      <x:c r="N197" s="22"/>
      <x:c r="O197" s="24"/>
      <x:c r="P197" s="22"/>
      <x:c r="Q197" s="28" t="str">
        <x:f>IF(C197="","",IF(N197&lt;&gt;"","CHIUSO",IF(H197&lt;&gt;"","APERTO","SEGNALE")))</x:f>
      </x:c>
      <x:c r="R197" s="30" t="str">
        <x:f>IF(OR(I197="",O197="",J197=""),"",((O197-I197)*J197))</x:f>
      </x:c>
      <x:c r="S197" s="32" t="str">
        <x:f>IF(OR(I197="",O197=""),"",(O197/I197)-1)</x:f>
      </x:c>
      <x:c r="T197" s="34" t="str">
        <x:f>IF(OR(I197="",O197="",K197="",I197=K197),"",(O197-I197)/(I197-K197))</x:f>
      </x:c>
      <x:c r="U197" s="26"/>
      <x:c r="V197" s="26"/>
      <x:c r="W197" s="24"/>
      <x:c r="X197" s="22"/>
    </x:row>
    <x:row r="198" ht="20" customHeight="1">
      <x:c r="A198" s="28" t="str">
        <x:f>IF(C198="","",ROW()-1)</x:f>
      </x:c>
      <x:c r="B198" s="22"/>
      <x:c r="C198" s="22"/>
      <x:c r="D198" s="22"/>
      <x:c r="E198" s="22"/>
      <x:c r="F198" s="22"/>
      <x:c r="G198" s="24"/>
      <x:c r="H198" s="22"/>
      <x:c r="I198" s="24"/>
      <x:c r="J198" s="26"/>
      <x:c r="K198" s="24"/>
      <x:c r="L198" s="24"/>
      <x:c r="M198" s="24"/>
      <x:c r="N198" s="22"/>
      <x:c r="O198" s="24"/>
      <x:c r="P198" s="22"/>
      <x:c r="Q198" s="28" t="str">
        <x:f>IF(C198="","",IF(N198&lt;&gt;"","CHIUSO",IF(H198&lt;&gt;"","APERTO","SEGNALE")))</x:f>
      </x:c>
      <x:c r="R198" s="30" t="str">
        <x:f>IF(OR(I198="",O198="",J198=""),"",((O198-I198)*J198))</x:f>
      </x:c>
      <x:c r="S198" s="32" t="str">
        <x:f>IF(OR(I198="",O198=""),"",(O198/I198)-1)</x:f>
      </x:c>
      <x:c r="T198" s="34" t="str">
        <x:f>IF(OR(I198="",O198="",K198="",I198=K198),"",(O198-I198)/(I198-K198))</x:f>
      </x:c>
      <x:c r="U198" s="26"/>
      <x:c r="V198" s="26"/>
      <x:c r="W198" s="24"/>
      <x:c r="X198" s="22"/>
    </x:row>
    <x:row r="199" ht="20" customHeight="1">
      <x:c r="A199" s="28" t="str">
        <x:f>IF(C199="","",ROW()-1)</x:f>
      </x:c>
      <x:c r="B199" s="22"/>
      <x:c r="C199" s="22"/>
      <x:c r="D199" s="22"/>
      <x:c r="E199" s="22"/>
      <x:c r="F199" s="22"/>
      <x:c r="G199" s="24"/>
      <x:c r="H199" s="22"/>
      <x:c r="I199" s="24"/>
      <x:c r="J199" s="26"/>
      <x:c r="K199" s="24"/>
      <x:c r="L199" s="24"/>
      <x:c r="M199" s="24"/>
      <x:c r="N199" s="22"/>
      <x:c r="O199" s="24"/>
      <x:c r="P199" s="22"/>
      <x:c r="Q199" s="28" t="str">
        <x:f>IF(C199="","",IF(N199&lt;&gt;"","CHIUSO",IF(H199&lt;&gt;"","APERTO","SEGNALE")))</x:f>
      </x:c>
      <x:c r="R199" s="30" t="str">
        <x:f>IF(OR(I199="",O199="",J199=""),"",((O199-I199)*J199))</x:f>
      </x:c>
      <x:c r="S199" s="32" t="str">
        <x:f>IF(OR(I199="",O199=""),"",(O199/I199)-1)</x:f>
      </x:c>
      <x:c r="T199" s="34" t="str">
        <x:f>IF(OR(I199="",O199="",K199="",I199=K199),"",(O199-I199)/(I199-K199))</x:f>
      </x:c>
      <x:c r="U199" s="26"/>
      <x:c r="V199" s="26"/>
      <x:c r="W199" s="24"/>
      <x:c r="X199" s="22"/>
    </x:row>
    <x:row r="200" ht="20" customHeight="1">
      <x:c r="A200" s="28" t="str">
        <x:f>IF(C200="","",ROW()-1)</x:f>
      </x:c>
      <x:c r="B200" s="22"/>
      <x:c r="C200" s="22"/>
      <x:c r="D200" s="22"/>
      <x:c r="E200" s="22"/>
      <x:c r="F200" s="22"/>
      <x:c r="G200" s="24"/>
      <x:c r="H200" s="22"/>
      <x:c r="I200" s="24"/>
      <x:c r="J200" s="26"/>
      <x:c r="K200" s="24"/>
      <x:c r="L200" s="24"/>
      <x:c r="M200" s="24"/>
      <x:c r="N200" s="22"/>
      <x:c r="O200" s="24"/>
      <x:c r="P200" s="22"/>
      <x:c r="Q200" s="28" t="str">
        <x:f>IF(C200="","",IF(N200&lt;&gt;"","CHIUSO",IF(H200&lt;&gt;"","APERTO","SEGNALE")))</x:f>
      </x:c>
      <x:c r="R200" s="30" t="str">
        <x:f>IF(OR(I200="",O200="",J200=""),"",((O200-I200)*J200))</x:f>
      </x:c>
      <x:c r="S200" s="32" t="str">
        <x:f>IF(OR(I200="",O200=""),"",(O200/I200)-1)</x:f>
      </x:c>
      <x:c r="T200" s="34" t="str">
        <x:f>IF(OR(I200="",O200="",K200="",I200=K200),"",(O200-I200)/(I200-K200))</x:f>
      </x:c>
      <x:c r="U200" s="26"/>
      <x:c r="V200" s="26"/>
      <x:c r="W200" s="24"/>
      <x:c r="X200" s="22"/>
    </x:row>
    <x:row r="201" ht="20" customHeight="1">
      <x:c r="A201" s="28" t="str">
        <x:f>IF(C201="","",ROW()-1)</x:f>
      </x:c>
      <x:c r="B201" s="22"/>
      <x:c r="C201" s="22"/>
      <x:c r="D201" s="22"/>
      <x:c r="E201" s="22"/>
      <x:c r="F201" s="22"/>
      <x:c r="G201" s="24"/>
      <x:c r="H201" s="22"/>
      <x:c r="I201" s="24"/>
      <x:c r="J201" s="26"/>
      <x:c r="K201" s="24"/>
      <x:c r="L201" s="24"/>
      <x:c r="M201" s="24"/>
      <x:c r="N201" s="22"/>
      <x:c r="O201" s="24"/>
      <x:c r="P201" s="22"/>
      <x:c r="Q201" s="28" t="str">
        <x:f>IF(C201="","",IF(N201&lt;&gt;"","CHIUSO",IF(H201&lt;&gt;"","APERTO","SEGNALE")))</x:f>
      </x:c>
      <x:c r="R201" s="30" t="str">
        <x:f>IF(OR(I201="",O201="",J201=""),"",((O201-I201)*J201))</x:f>
      </x:c>
      <x:c r="S201" s="32" t="str">
        <x:f>IF(OR(I201="",O201=""),"",(O201/I201)-1)</x:f>
      </x:c>
      <x:c r="T201" s="34" t="str">
        <x:f>IF(OR(I201="",O201="",K201="",I201=K201),"",(O201-I201)/(I201-K201))</x:f>
      </x:c>
      <x:c r="U201" s="26"/>
      <x:c r="V201" s="26"/>
      <x:c r="W201" s="24"/>
      <x:c r="X201" s="22"/>
    </x:row>
  </x:sheetData>
  <x:conditionalFormatting sqref="Q2:Q201">
    <x:cfRule type="expression" dxfId="0" priority="1">
      <x:formula>Q2="APERTO"</x:formula>
    </x:cfRule>
    <x:cfRule type="expression" dxfId="1" priority="2">
      <x:formula>Q2="CHIUSO"</x:formula>
    </x:cfRule>
    <x:cfRule type="expression" dxfId="2" priority="3">
      <x:formula>Q2="SEGNALE"</x:formula>
    </x:cfRule>
  </x:conditionalFormatting>
  <x:conditionalFormatting sqref="R2:R201">
    <x:cfRule type="expression" dxfId="3" priority="4">
      <x:formula>R2&lt;0</x:formula>
    </x:cfRule>
  </x:conditionalFormatting>
  <x:dataValidations count="3">
    <x:dataValidation type="list" sqref="B2:B201">
      <x:formula1>"USA,ITALIA"</x:formula1>
    </x:dataValidation>
    <x:dataValidation type="list" sqref="E2:E201">
      <x:formula1>"BUY_NOW,LIMIT_READY,SELL,STOP,WAIT"</x:formula1>
    </x:dataValidation>
    <x:dataValidation type="list" sqref="P2:P201">
      <x:formula1>"TP1,TP2,STOP LOSS,TRAILING STOP,SELL SIGNAL,MANUALE,ALTRO"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0f5356eb2349f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35" hidden="0" customWidth="1"/>
    <x:col min="19" max="19" width="15" hidden="0" customWidth="1"/>
    <x:col min="20" max="20" width="15" hidden="0" customWidth="1"/>
  </x:cols>
  <x:sheetData>
    <x:row r="1">
      <x:c r="A1" s="6" t="str">
        <x:v>Data/Ora</x:v>
      </x:c>
      <x:c r="B1" s="6" t="str">
        <x:v>Mercato</x:v>
      </x:c>
      <x:c r="C1" s="6" t="str">
        <x:v>Ticker</x:v>
      </x:c>
      <x:c r="D1" s="6" t="str">
        <x:v>Strategia</x:v>
      </x:c>
      <x:c r="E1" s="6" t="str">
        <x:v>Stato Motore</x:v>
      </x:c>
      <x:c r="F1" s="6" t="str">
        <x:v>Prezzo</x:v>
      </x:c>
      <x:c r="G1" s="6" t="str">
        <x:v>Buy Zone Min</x:v>
      </x:c>
      <x:c r="H1" s="6" t="str">
        <x:v>Buy Zone Max</x:v>
      </x:c>
      <x:c r="I1" s="6" t="str">
        <x:v>Max Buy</x:v>
      </x:c>
      <x:c r="J1" s="6" t="str">
        <x:v>Stop</x:v>
      </x:c>
      <x:c r="K1" s="6" t="str">
        <x:v>TP1</x:v>
      </x:c>
      <x:c r="L1" s="6" t="str">
        <x:v>TP2</x:v>
      </x:c>
      <x:c r="M1" s="6" t="str">
        <x:v>Quality</x:v>
      </x:c>
      <x:c r="N1" s="6" t="str">
        <x:v>Opportunity</x:v>
      </x:c>
      <x:c r="O1" s="6" t="str">
        <x:v>R/R Netto</x:v>
      </x:c>
      <x:c r="P1" s="6" t="str">
        <x:v>Trigger</x:v>
      </x:c>
      <x:c r="Q1" s="6" t="str">
        <x:v>Volume Confirmed</x:v>
      </x:c>
      <x:c r="R1" s="6" t="str">
        <x:v>Motivo</x:v>
      </x:c>
      <x:c r="S1" s="6" t="str">
        <x:v>WhatsApp Inviato</x:v>
      </x:c>
      <x:c r="T1" s="6" t="str">
        <x:v>Email Inviata</x:v>
      </x:c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  <x:c r="T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  <x:c r="T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  <x:c r="T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  <x:c r="T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  <x:c r="T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  <x:c r="T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  <x:c r="T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  <x:c r="T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  <x:c r="T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  <x:c r="T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  <x:c r="T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  <x:c r="T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  <x:c r="T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  <x:c r="T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  <x:c r="T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  <x:c r="T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  <x:c r="T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  <x:c r="T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  <x:c r="T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  <x:c r="T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  <x:c r="T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  <x:c r="T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  <x:c r="T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  <x:c r="T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  <x:c r="T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  <x:c r="T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  <x:c r="T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  <x:c r="T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  <x:c r="T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  <x:c r="T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  <x:c r="T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  <x:c r="T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  <x:c r="T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  <x:c r="T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  <x:c r="T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  <x:c r="T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  <x:c r="T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  <x:c r="T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  <x:c r="T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  <x:c r="T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  <x:c r="T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  <x:c r="T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  <x:c r="T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  <x:c r="T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  <x:c r="T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  <x:c r="T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  <x:c r="T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  <x:c r="T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  <x:c r="T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  <x:c r="T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  <x:c r="T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  <x:c r="T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  <x:c r="T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  <x:c r="T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  <x:c r="T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  <x:c r="T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  <x:c r="T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  <x:c r="T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  <x:c r="T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  <x:c r="T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  <x:c r="T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  <x:c r="T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  <x:c r="T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  <x:c r="T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  <x:c r="T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  <x:c r="T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  <x:c r="T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  <x:c r="T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  <x:c r="T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  <x:c r="T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  <x:c r="T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  <x:c r="T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  <x:c r="T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  <x:c r="T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  <x:c r="T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  <x:c r="T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  <x:c r="T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  <x:c r="T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  <x:c r="T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  <x:c r="T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  <x:c r="T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  <x:c r="T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  <x:c r="T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  <x:c r="T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  <x:c r="T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  <x:c r="T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  <x:c r="T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  <x:c r="T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  <x:c r="T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  <x:c r="T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  <x:c r="T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  <x:c r="T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  <x:c r="T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  <x:c r="T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  <x:c r="T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  <x:c r="T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  <x:c r="T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  <x:c r="T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  <x:c r="T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  <x:c r="N201" s="12"/>
      <x:c r="O201" s="12"/>
      <x:c r="P201" s="12"/>
      <x:c r="Q201" s="12"/>
      <x:c r="R201" s="12"/>
      <x:c r="S201" s="12"/>
      <x:c r="T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  <x:c r="N202" s="12"/>
      <x:c r="O202" s="12"/>
      <x:c r="P202" s="12"/>
      <x:c r="Q202" s="12"/>
      <x:c r="R202" s="12"/>
      <x:c r="S202" s="12"/>
      <x:c r="T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  <x:c r="N203" s="12"/>
      <x:c r="O203" s="12"/>
      <x:c r="P203" s="12"/>
      <x:c r="Q203" s="12"/>
      <x:c r="R203" s="12"/>
      <x:c r="S203" s="12"/>
      <x:c r="T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  <x:c r="N204" s="12"/>
      <x:c r="O204" s="12"/>
      <x:c r="P204" s="12"/>
      <x:c r="Q204" s="12"/>
      <x:c r="R204" s="12"/>
      <x:c r="S204" s="12"/>
      <x:c r="T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  <x:c r="N205" s="12"/>
      <x:c r="O205" s="12"/>
      <x:c r="P205" s="12"/>
      <x:c r="Q205" s="12"/>
      <x:c r="R205" s="12"/>
      <x:c r="S205" s="12"/>
      <x:c r="T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  <x:c r="N206" s="12"/>
      <x:c r="O206" s="12"/>
      <x:c r="P206" s="12"/>
      <x:c r="Q206" s="12"/>
      <x:c r="R206" s="12"/>
      <x:c r="S206" s="12"/>
      <x:c r="T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  <x:c r="N207" s="12"/>
      <x:c r="O207" s="12"/>
      <x:c r="P207" s="12"/>
      <x:c r="Q207" s="12"/>
      <x:c r="R207" s="12"/>
      <x:c r="S207" s="12"/>
      <x:c r="T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  <x:c r="N208" s="12"/>
      <x:c r="O208" s="12"/>
      <x:c r="P208" s="12"/>
      <x:c r="Q208" s="12"/>
      <x:c r="R208" s="12"/>
      <x:c r="S208" s="12"/>
      <x:c r="T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  <x:c r="N209" s="12"/>
      <x:c r="O209" s="12"/>
      <x:c r="P209" s="12"/>
      <x:c r="Q209" s="12"/>
      <x:c r="R209" s="12"/>
      <x:c r="S209" s="12"/>
      <x:c r="T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  <x:c r="N210" s="12"/>
      <x:c r="O210" s="12"/>
      <x:c r="P210" s="12"/>
      <x:c r="Q210" s="12"/>
      <x:c r="R210" s="12"/>
      <x:c r="S210" s="12"/>
      <x:c r="T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  <x:c r="N211" s="12"/>
      <x:c r="O211" s="12"/>
      <x:c r="P211" s="12"/>
      <x:c r="Q211" s="12"/>
      <x:c r="R211" s="12"/>
      <x:c r="S211" s="12"/>
      <x:c r="T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  <x:c r="N212" s="12"/>
      <x:c r="O212" s="12"/>
      <x:c r="P212" s="12"/>
      <x:c r="Q212" s="12"/>
      <x:c r="R212" s="12"/>
      <x:c r="S212" s="12"/>
      <x:c r="T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  <x:c r="N213" s="12"/>
      <x:c r="O213" s="12"/>
      <x:c r="P213" s="12"/>
      <x:c r="Q213" s="12"/>
      <x:c r="R213" s="12"/>
      <x:c r="S213" s="12"/>
      <x:c r="T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  <x:c r="N214" s="12"/>
      <x:c r="O214" s="12"/>
      <x:c r="P214" s="12"/>
      <x:c r="Q214" s="12"/>
      <x:c r="R214" s="12"/>
      <x:c r="S214" s="12"/>
      <x:c r="T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  <x:c r="N215" s="12"/>
      <x:c r="O215" s="12"/>
      <x:c r="P215" s="12"/>
      <x:c r="Q215" s="12"/>
      <x:c r="R215" s="12"/>
      <x:c r="S215" s="12"/>
      <x:c r="T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  <x:c r="N216" s="12"/>
      <x:c r="O216" s="12"/>
      <x:c r="P216" s="12"/>
      <x:c r="Q216" s="12"/>
      <x:c r="R216" s="12"/>
      <x:c r="S216" s="12"/>
      <x:c r="T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  <x:c r="N217" s="12"/>
      <x:c r="O217" s="12"/>
      <x:c r="P217" s="12"/>
      <x:c r="Q217" s="12"/>
      <x:c r="R217" s="12"/>
      <x:c r="S217" s="12"/>
      <x:c r="T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  <x:c r="N218" s="12"/>
      <x:c r="O218" s="12"/>
      <x:c r="P218" s="12"/>
      <x:c r="Q218" s="12"/>
      <x:c r="R218" s="12"/>
      <x:c r="S218" s="12"/>
      <x:c r="T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  <x:c r="N219" s="12"/>
      <x:c r="O219" s="12"/>
      <x:c r="P219" s="12"/>
      <x:c r="Q219" s="12"/>
      <x:c r="R219" s="12"/>
      <x:c r="S219" s="12"/>
      <x:c r="T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  <x:c r="N220" s="12"/>
      <x:c r="O220" s="12"/>
      <x:c r="P220" s="12"/>
      <x:c r="Q220" s="12"/>
      <x:c r="R220" s="12"/>
      <x:c r="S220" s="12"/>
      <x:c r="T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  <x:c r="N221" s="12"/>
      <x:c r="O221" s="12"/>
      <x:c r="P221" s="12"/>
      <x:c r="Q221" s="12"/>
      <x:c r="R221" s="12"/>
      <x:c r="S221" s="12"/>
      <x:c r="T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  <x:c r="N222" s="12"/>
      <x:c r="O222" s="12"/>
      <x:c r="P222" s="12"/>
      <x:c r="Q222" s="12"/>
      <x:c r="R222" s="12"/>
      <x:c r="S222" s="12"/>
      <x:c r="T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  <x:c r="N223" s="12"/>
      <x:c r="O223" s="12"/>
      <x:c r="P223" s="12"/>
      <x:c r="Q223" s="12"/>
      <x:c r="R223" s="12"/>
      <x:c r="S223" s="12"/>
      <x:c r="T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  <x:c r="N224" s="12"/>
      <x:c r="O224" s="12"/>
      <x:c r="P224" s="12"/>
      <x:c r="Q224" s="12"/>
      <x:c r="R224" s="12"/>
      <x:c r="S224" s="12"/>
      <x:c r="T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  <x:c r="N225" s="12"/>
      <x:c r="O225" s="12"/>
      <x:c r="P225" s="12"/>
      <x:c r="Q225" s="12"/>
      <x:c r="R225" s="12"/>
      <x:c r="S225" s="12"/>
      <x:c r="T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  <x:c r="N226" s="12"/>
      <x:c r="O226" s="12"/>
      <x:c r="P226" s="12"/>
      <x:c r="Q226" s="12"/>
      <x:c r="R226" s="12"/>
      <x:c r="S226" s="12"/>
      <x:c r="T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  <x:c r="N227" s="12"/>
      <x:c r="O227" s="12"/>
      <x:c r="P227" s="12"/>
      <x:c r="Q227" s="12"/>
      <x:c r="R227" s="12"/>
      <x:c r="S227" s="12"/>
      <x:c r="T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  <x:c r="N228" s="12"/>
      <x:c r="O228" s="12"/>
      <x:c r="P228" s="12"/>
      <x:c r="Q228" s="12"/>
      <x:c r="R228" s="12"/>
      <x:c r="S228" s="12"/>
      <x:c r="T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  <x:c r="N229" s="12"/>
      <x:c r="O229" s="12"/>
      <x:c r="P229" s="12"/>
      <x:c r="Q229" s="12"/>
      <x:c r="R229" s="12"/>
      <x:c r="S229" s="12"/>
      <x:c r="T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  <x:c r="N230" s="12"/>
      <x:c r="O230" s="12"/>
      <x:c r="P230" s="12"/>
      <x:c r="Q230" s="12"/>
      <x:c r="R230" s="12"/>
      <x:c r="S230" s="12"/>
      <x:c r="T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  <x:c r="N231" s="12"/>
      <x:c r="O231" s="12"/>
      <x:c r="P231" s="12"/>
      <x:c r="Q231" s="12"/>
      <x:c r="R231" s="12"/>
      <x:c r="S231" s="12"/>
      <x:c r="T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  <x:c r="N232" s="12"/>
      <x:c r="O232" s="12"/>
      <x:c r="P232" s="12"/>
      <x:c r="Q232" s="12"/>
      <x:c r="R232" s="12"/>
      <x:c r="S232" s="12"/>
      <x:c r="T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  <x:c r="N233" s="12"/>
      <x:c r="O233" s="12"/>
      <x:c r="P233" s="12"/>
      <x:c r="Q233" s="12"/>
      <x:c r="R233" s="12"/>
      <x:c r="S233" s="12"/>
      <x:c r="T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  <x:c r="N234" s="12"/>
      <x:c r="O234" s="12"/>
      <x:c r="P234" s="12"/>
      <x:c r="Q234" s="12"/>
      <x:c r="R234" s="12"/>
      <x:c r="S234" s="12"/>
      <x:c r="T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  <x:c r="N235" s="12"/>
      <x:c r="O235" s="12"/>
      <x:c r="P235" s="12"/>
      <x:c r="Q235" s="12"/>
      <x:c r="R235" s="12"/>
      <x:c r="S235" s="12"/>
      <x:c r="T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  <x:c r="N236" s="12"/>
      <x:c r="O236" s="12"/>
      <x:c r="P236" s="12"/>
      <x:c r="Q236" s="12"/>
      <x:c r="R236" s="12"/>
      <x:c r="S236" s="12"/>
      <x:c r="T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  <x:c r="N237" s="12"/>
      <x:c r="O237" s="12"/>
      <x:c r="P237" s="12"/>
      <x:c r="Q237" s="12"/>
      <x:c r="R237" s="12"/>
      <x:c r="S237" s="12"/>
      <x:c r="T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  <x:c r="N238" s="12"/>
      <x:c r="O238" s="12"/>
      <x:c r="P238" s="12"/>
      <x:c r="Q238" s="12"/>
      <x:c r="R238" s="12"/>
      <x:c r="S238" s="12"/>
      <x:c r="T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  <x:c r="N239" s="12"/>
      <x:c r="O239" s="12"/>
      <x:c r="P239" s="12"/>
      <x:c r="Q239" s="12"/>
      <x:c r="R239" s="12"/>
      <x:c r="S239" s="12"/>
      <x:c r="T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  <x:c r="N240" s="12"/>
      <x:c r="O240" s="12"/>
      <x:c r="P240" s="12"/>
      <x:c r="Q240" s="12"/>
      <x:c r="R240" s="12"/>
      <x:c r="S240" s="12"/>
      <x:c r="T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  <x:c r="N241" s="12"/>
      <x:c r="O241" s="12"/>
      <x:c r="P241" s="12"/>
      <x:c r="Q241" s="12"/>
      <x:c r="R241" s="12"/>
      <x:c r="S241" s="12"/>
      <x:c r="T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  <x:c r="N242" s="12"/>
      <x:c r="O242" s="12"/>
      <x:c r="P242" s="12"/>
      <x:c r="Q242" s="12"/>
      <x:c r="R242" s="12"/>
      <x:c r="S242" s="12"/>
      <x:c r="T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  <x:c r="N243" s="12"/>
      <x:c r="O243" s="12"/>
      <x:c r="P243" s="12"/>
      <x:c r="Q243" s="12"/>
      <x:c r="R243" s="12"/>
      <x:c r="S243" s="12"/>
      <x:c r="T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  <x:c r="N244" s="12"/>
      <x:c r="O244" s="12"/>
      <x:c r="P244" s="12"/>
      <x:c r="Q244" s="12"/>
      <x:c r="R244" s="12"/>
      <x:c r="S244" s="12"/>
      <x:c r="T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  <x:c r="N245" s="12"/>
      <x:c r="O245" s="12"/>
      <x:c r="P245" s="12"/>
      <x:c r="Q245" s="12"/>
      <x:c r="R245" s="12"/>
      <x:c r="S245" s="12"/>
      <x:c r="T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  <x:c r="N246" s="12"/>
      <x:c r="O246" s="12"/>
      <x:c r="P246" s="12"/>
      <x:c r="Q246" s="12"/>
      <x:c r="R246" s="12"/>
      <x:c r="S246" s="12"/>
      <x:c r="T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  <x:c r="N247" s="12"/>
      <x:c r="O247" s="12"/>
      <x:c r="P247" s="12"/>
      <x:c r="Q247" s="12"/>
      <x:c r="R247" s="12"/>
      <x:c r="S247" s="12"/>
      <x:c r="T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  <x:c r="N248" s="12"/>
      <x:c r="O248" s="12"/>
      <x:c r="P248" s="12"/>
      <x:c r="Q248" s="12"/>
      <x:c r="R248" s="12"/>
      <x:c r="S248" s="12"/>
      <x:c r="T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  <x:c r="N249" s="12"/>
      <x:c r="O249" s="12"/>
      <x:c r="P249" s="12"/>
      <x:c r="Q249" s="12"/>
      <x:c r="R249" s="12"/>
      <x:c r="S249" s="12"/>
      <x:c r="T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  <x:c r="N250" s="12"/>
      <x:c r="O250" s="12"/>
      <x:c r="P250" s="12"/>
      <x:c r="Q250" s="12"/>
      <x:c r="R250" s="12"/>
      <x:c r="S250" s="12"/>
      <x:c r="T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  <x:c r="N251" s="12"/>
      <x:c r="O251" s="12"/>
      <x:c r="P251" s="12"/>
      <x:c r="Q251" s="12"/>
      <x:c r="R251" s="12"/>
      <x:c r="S251" s="12"/>
      <x:c r="T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  <x:c r="N252" s="12"/>
      <x:c r="O252" s="12"/>
      <x:c r="P252" s="12"/>
      <x:c r="Q252" s="12"/>
      <x:c r="R252" s="12"/>
      <x:c r="S252" s="12"/>
      <x:c r="T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2"/>
      <x:c r="N253" s="12"/>
      <x:c r="O253" s="12"/>
      <x:c r="P253" s="12"/>
      <x:c r="Q253" s="12"/>
      <x:c r="R253" s="12"/>
      <x:c r="S253" s="12"/>
      <x:c r="T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2"/>
      <x:c r="N254" s="12"/>
      <x:c r="O254" s="12"/>
      <x:c r="P254" s="12"/>
      <x:c r="Q254" s="12"/>
      <x:c r="R254" s="12"/>
      <x:c r="S254" s="12"/>
      <x:c r="T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2"/>
      <x:c r="N255" s="12"/>
      <x:c r="O255" s="12"/>
      <x:c r="P255" s="12"/>
      <x:c r="Q255" s="12"/>
      <x:c r="R255" s="12"/>
      <x:c r="S255" s="12"/>
      <x:c r="T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  <x:c r="N256" s="12"/>
      <x:c r="O256" s="12"/>
      <x:c r="P256" s="12"/>
      <x:c r="Q256" s="12"/>
      <x:c r="R256" s="12"/>
      <x:c r="S256" s="12"/>
      <x:c r="T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2"/>
      <x:c r="N257" s="12"/>
      <x:c r="O257" s="12"/>
      <x:c r="P257" s="12"/>
      <x:c r="Q257" s="12"/>
      <x:c r="R257" s="12"/>
      <x:c r="S257" s="12"/>
      <x:c r="T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2"/>
      <x:c r="N258" s="12"/>
      <x:c r="O258" s="12"/>
      <x:c r="P258" s="12"/>
      <x:c r="Q258" s="12"/>
      <x:c r="R258" s="12"/>
      <x:c r="S258" s="12"/>
      <x:c r="T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2"/>
      <x:c r="N259" s="12"/>
      <x:c r="O259" s="12"/>
      <x:c r="P259" s="12"/>
      <x:c r="Q259" s="12"/>
      <x:c r="R259" s="12"/>
      <x:c r="S259" s="12"/>
      <x:c r="T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2"/>
      <x:c r="N260" s="12"/>
      <x:c r="O260" s="12"/>
      <x:c r="P260" s="12"/>
      <x:c r="Q260" s="12"/>
      <x:c r="R260" s="12"/>
      <x:c r="S260" s="12"/>
      <x:c r="T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2"/>
      <x:c r="N261" s="12"/>
      <x:c r="O261" s="12"/>
      <x:c r="P261" s="12"/>
      <x:c r="Q261" s="12"/>
      <x:c r="R261" s="12"/>
      <x:c r="S261" s="12"/>
      <x:c r="T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2"/>
      <x:c r="N262" s="12"/>
      <x:c r="O262" s="12"/>
      <x:c r="P262" s="12"/>
      <x:c r="Q262" s="12"/>
      <x:c r="R262" s="12"/>
      <x:c r="S262" s="12"/>
      <x:c r="T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2"/>
      <x:c r="N263" s="12"/>
      <x:c r="O263" s="12"/>
      <x:c r="P263" s="12"/>
      <x:c r="Q263" s="12"/>
      <x:c r="R263" s="12"/>
      <x:c r="S263" s="12"/>
      <x:c r="T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2"/>
      <x:c r="N264" s="12"/>
      <x:c r="O264" s="12"/>
      <x:c r="P264" s="12"/>
      <x:c r="Q264" s="12"/>
      <x:c r="R264" s="12"/>
      <x:c r="S264" s="12"/>
      <x:c r="T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2"/>
      <x:c r="N265" s="12"/>
      <x:c r="O265" s="12"/>
      <x:c r="P265" s="12"/>
      <x:c r="Q265" s="12"/>
      <x:c r="R265" s="12"/>
      <x:c r="S265" s="12"/>
      <x:c r="T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2"/>
      <x:c r="N266" s="12"/>
      <x:c r="O266" s="12"/>
      <x:c r="P266" s="12"/>
      <x:c r="Q266" s="12"/>
      <x:c r="R266" s="12"/>
      <x:c r="S266" s="12"/>
      <x:c r="T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  <x:c r="N267" s="12"/>
      <x:c r="O267" s="12"/>
      <x:c r="P267" s="12"/>
      <x:c r="Q267" s="12"/>
      <x:c r="R267" s="12"/>
      <x:c r="S267" s="12"/>
      <x:c r="T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  <x:c r="N268" s="12"/>
      <x:c r="O268" s="12"/>
      <x:c r="P268" s="12"/>
      <x:c r="Q268" s="12"/>
      <x:c r="R268" s="12"/>
      <x:c r="S268" s="12"/>
      <x:c r="T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2"/>
      <x:c r="N269" s="12"/>
      <x:c r="O269" s="12"/>
      <x:c r="P269" s="12"/>
      <x:c r="Q269" s="12"/>
      <x:c r="R269" s="12"/>
      <x:c r="S269" s="12"/>
      <x:c r="T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2"/>
      <x:c r="N270" s="12"/>
      <x:c r="O270" s="12"/>
      <x:c r="P270" s="12"/>
      <x:c r="Q270" s="12"/>
      <x:c r="R270" s="12"/>
      <x:c r="S270" s="12"/>
      <x:c r="T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2"/>
      <x:c r="N271" s="12"/>
      <x:c r="O271" s="12"/>
      <x:c r="P271" s="12"/>
      <x:c r="Q271" s="12"/>
      <x:c r="R271" s="12"/>
      <x:c r="S271" s="12"/>
      <x:c r="T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2"/>
      <x:c r="N272" s="12"/>
      <x:c r="O272" s="12"/>
      <x:c r="P272" s="12"/>
      <x:c r="Q272" s="12"/>
      <x:c r="R272" s="12"/>
      <x:c r="S272" s="12"/>
      <x:c r="T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2"/>
      <x:c r="N273" s="12"/>
      <x:c r="O273" s="12"/>
      <x:c r="P273" s="12"/>
      <x:c r="Q273" s="12"/>
      <x:c r="R273" s="12"/>
      <x:c r="S273" s="12"/>
      <x:c r="T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  <x:c r="N274" s="12"/>
      <x:c r="O274" s="12"/>
      <x:c r="P274" s="12"/>
      <x:c r="Q274" s="12"/>
      <x:c r="R274" s="12"/>
      <x:c r="S274" s="12"/>
      <x:c r="T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2"/>
      <x:c r="N275" s="12"/>
      <x:c r="O275" s="12"/>
      <x:c r="P275" s="12"/>
      <x:c r="Q275" s="12"/>
      <x:c r="R275" s="12"/>
      <x:c r="S275" s="12"/>
      <x:c r="T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  <x:c r="N276" s="12"/>
      <x:c r="O276" s="12"/>
      <x:c r="P276" s="12"/>
      <x:c r="Q276" s="12"/>
      <x:c r="R276" s="12"/>
      <x:c r="S276" s="12"/>
      <x:c r="T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2"/>
      <x:c r="N277" s="12"/>
      <x:c r="O277" s="12"/>
      <x:c r="P277" s="12"/>
      <x:c r="Q277" s="12"/>
      <x:c r="R277" s="12"/>
      <x:c r="S277" s="12"/>
      <x:c r="T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2"/>
      <x:c r="N278" s="12"/>
      <x:c r="O278" s="12"/>
      <x:c r="P278" s="12"/>
      <x:c r="Q278" s="12"/>
      <x:c r="R278" s="12"/>
      <x:c r="S278" s="12"/>
      <x:c r="T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2"/>
      <x:c r="N279" s="12"/>
      <x:c r="O279" s="12"/>
      <x:c r="P279" s="12"/>
      <x:c r="Q279" s="12"/>
      <x:c r="R279" s="12"/>
      <x:c r="S279" s="12"/>
      <x:c r="T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  <x:c r="N280" s="12"/>
      <x:c r="O280" s="12"/>
      <x:c r="P280" s="12"/>
      <x:c r="Q280" s="12"/>
      <x:c r="R280" s="12"/>
      <x:c r="S280" s="12"/>
      <x:c r="T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2"/>
      <x:c r="N281" s="12"/>
      <x:c r="O281" s="12"/>
      <x:c r="P281" s="12"/>
      <x:c r="Q281" s="12"/>
      <x:c r="R281" s="12"/>
      <x:c r="S281" s="12"/>
      <x:c r="T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2"/>
      <x:c r="N282" s="12"/>
      <x:c r="O282" s="12"/>
      <x:c r="P282" s="12"/>
      <x:c r="Q282" s="12"/>
      <x:c r="R282" s="12"/>
      <x:c r="S282" s="12"/>
      <x:c r="T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2"/>
      <x:c r="N283" s="12"/>
      <x:c r="O283" s="12"/>
      <x:c r="P283" s="12"/>
      <x:c r="Q283" s="12"/>
      <x:c r="R283" s="12"/>
      <x:c r="S283" s="12"/>
      <x:c r="T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2"/>
      <x:c r="N284" s="12"/>
      <x:c r="O284" s="12"/>
      <x:c r="P284" s="12"/>
      <x:c r="Q284" s="12"/>
      <x:c r="R284" s="12"/>
      <x:c r="S284" s="12"/>
      <x:c r="T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2"/>
      <x:c r="N285" s="12"/>
      <x:c r="O285" s="12"/>
      <x:c r="P285" s="12"/>
      <x:c r="Q285" s="12"/>
      <x:c r="R285" s="12"/>
      <x:c r="S285" s="12"/>
      <x:c r="T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2"/>
      <x:c r="N286" s="12"/>
      <x:c r="O286" s="12"/>
      <x:c r="P286" s="12"/>
      <x:c r="Q286" s="12"/>
      <x:c r="R286" s="12"/>
      <x:c r="S286" s="12"/>
      <x:c r="T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2"/>
      <x:c r="N287" s="12"/>
      <x:c r="O287" s="12"/>
      <x:c r="P287" s="12"/>
      <x:c r="Q287" s="12"/>
      <x:c r="R287" s="12"/>
      <x:c r="S287" s="12"/>
      <x:c r="T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2"/>
      <x:c r="N288" s="12"/>
      <x:c r="O288" s="12"/>
      <x:c r="P288" s="12"/>
      <x:c r="Q288" s="12"/>
      <x:c r="R288" s="12"/>
      <x:c r="S288" s="12"/>
      <x:c r="T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2"/>
      <x:c r="N289" s="12"/>
      <x:c r="O289" s="12"/>
      <x:c r="P289" s="12"/>
      <x:c r="Q289" s="12"/>
      <x:c r="R289" s="12"/>
      <x:c r="S289" s="12"/>
      <x:c r="T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2"/>
      <x:c r="N290" s="12"/>
      <x:c r="O290" s="12"/>
      <x:c r="P290" s="12"/>
      <x:c r="Q290" s="12"/>
      <x:c r="R290" s="12"/>
      <x:c r="S290" s="12"/>
      <x:c r="T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2"/>
      <x:c r="N291" s="12"/>
      <x:c r="O291" s="12"/>
      <x:c r="P291" s="12"/>
      <x:c r="Q291" s="12"/>
      <x:c r="R291" s="12"/>
      <x:c r="S291" s="12"/>
      <x:c r="T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  <x:c r="N292" s="12"/>
      <x:c r="O292" s="12"/>
      <x:c r="P292" s="12"/>
      <x:c r="Q292" s="12"/>
      <x:c r="R292" s="12"/>
      <x:c r="S292" s="12"/>
      <x:c r="T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2"/>
      <x:c r="N293" s="12"/>
      <x:c r="O293" s="12"/>
      <x:c r="P293" s="12"/>
      <x:c r="Q293" s="12"/>
      <x:c r="R293" s="12"/>
      <x:c r="S293" s="12"/>
      <x:c r="T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2"/>
      <x:c r="N294" s="12"/>
      <x:c r="O294" s="12"/>
      <x:c r="P294" s="12"/>
      <x:c r="Q294" s="12"/>
      <x:c r="R294" s="12"/>
      <x:c r="S294" s="12"/>
      <x:c r="T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2"/>
      <x:c r="N295" s="12"/>
      <x:c r="O295" s="12"/>
      <x:c r="P295" s="12"/>
      <x:c r="Q295" s="12"/>
      <x:c r="R295" s="12"/>
      <x:c r="S295" s="12"/>
      <x:c r="T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2"/>
      <x:c r="N296" s="12"/>
      <x:c r="O296" s="12"/>
      <x:c r="P296" s="12"/>
      <x:c r="Q296" s="12"/>
      <x:c r="R296" s="12"/>
      <x:c r="S296" s="12"/>
      <x:c r="T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2"/>
      <x:c r="N297" s="12"/>
      <x:c r="O297" s="12"/>
      <x:c r="P297" s="12"/>
      <x:c r="Q297" s="12"/>
      <x:c r="R297" s="12"/>
      <x:c r="S297" s="12"/>
      <x:c r="T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2"/>
      <x:c r="N298" s="12"/>
      <x:c r="O298" s="12"/>
      <x:c r="P298" s="12"/>
      <x:c r="Q298" s="12"/>
      <x:c r="R298" s="12"/>
      <x:c r="S298" s="12"/>
      <x:c r="T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2"/>
      <x:c r="N299" s="12"/>
      <x:c r="O299" s="12"/>
      <x:c r="P299" s="12"/>
      <x:c r="Q299" s="12"/>
      <x:c r="R299" s="12"/>
      <x:c r="S299" s="12"/>
      <x:c r="T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2"/>
      <x:c r="N300" s="12"/>
      <x:c r="O300" s="12"/>
      <x:c r="P300" s="12"/>
      <x:c r="Q300" s="12"/>
      <x:c r="R300" s="12"/>
      <x:c r="S300" s="12"/>
      <x:c r="T300" s="12"/>
    </x:row>
    <x:row r="301">
      <x:c r="A301" s="12"/>
      <x:c r="B301" s="12"/>
      <x:c r="C301" s="12"/>
      <x:c r="D301" s="12"/>
      <x:c r="E301" s="12"/>
      <x:c r="F301" s="12"/>
      <x:c r="G301" s="12"/>
      <x:c r="H301" s="12"/>
      <x:c r="I301" s="12"/>
      <x:c r="J301" s="12"/>
      <x:c r="K301" s="12"/>
      <x:c r="L301" s="12"/>
      <x:c r="M301" s="12"/>
      <x:c r="N301" s="12"/>
      <x:c r="O301" s="12"/>
      <x:c r="P301" s="12"/>
      <x:c r="Q301" s="12"/>
      <x:c r="R301" s="12"/>
      <x:c r="S301" s="12"/>
      <x:c r="T301" s="12"/>
    </x:row>
    <x:row r="302">
      <x:c r="A302" s="12"/>
      <x:c r="B302" s="12"/>
      <x:c r="C302" s="12"/>
      <x:c r="D302" s="12"/>
      <x:c r="E302" s="12"/>
      <x:c r="F302" s="12"/>
      <x:c r="G302" s="12"/>
      <x:c r="H302" s="12"/>
      <x:c r="I302" s="12"/>
      <x:c r="J302" s="12"/>
      <x:c r="K302" s="12"/>
      <x:c r="L302" s="12"/>
      <x:c r="M302" s="12"/>
      <x:c r="N302" s="12"/>
      <x:c r="O302" s="12"/>
      <x:c r="P302" s="12"/>
      <x:c r="Q302" s="12"/>
      <x:c r="R302" s="12"/>
      <x:c r="S302" s="12"/>
      <x:c r="T302" s="12"/>
    </x:row>
    <x:row r="303">
      <x:c r="A303" s="12"/>
      <x:c r="B303" s="12"/>
      <x:c r="C303" s="12"/>
      <x:c r="D303" s="12"/>
      <x:c r="E303" s="12"/>
      <x:c r="F303" s="12"/>
      <x:c r="G303" s="12"/>
      <x:c r="H303" s="12"/>
      <x:c r="I303" s="12"/>
      <x:c r="J303" s="12"/>
      <x:c r="K303" s="12"/>
      <x:c r="L303" s="12"/>
      <x:c r="M303" s="12"/>
      <x:c r="N303" s="12"/>
      <x:c r="O303" s="12"/>
      <x:c r="P303" s="12"/>
      <x:c r="Q303" s="12"/>
      <x:c r="R303" s="12"/>
      <x:c r="S303" s="12"/>
      <x:c r="T303" s="12"/>
    </x:row>
    <x:row r="304">
      <x:c r="A304" s="12"/>
      <x:c r="B304" s="12"/>
      <x:c r="C304" s="12"/>
      <x:c r="D304" s="12"/>
      <x:c r="E304" s="12"/>
      <x:c r="F304" s="12"/>
      <x:c r="G304" s="12"/>
      <x:c r="H304" s="12"/>
      <x:c r="I304" s="12"/>
      <x:c r="J304" s="12"/>
      <x:c r="K304" s="12"/>
      <x:c r="L304" s="12"/>
      <x:c r="M304" s="12"/>
      <x:c r="N304" s="12"/>
      <x:c r="O304" s="12"/>
      <x:c r="P304" s="12"/>
      <x:c r="Q304" s="12"/>
      <x:c r="R304" s="12"/>
      <x:c r="S304" s="12"/>
      <x:c r="T304" s="12"/>
    </x:row>
    <x:row r="305">
      <x:c r="A305" s="12"/>
      <x:c r="B305" s="12"/>
      <x:c r="C305" s="12"/>
      <x:c r="D305" s="12"/>
      <x:c r="E305" s="12"/>
      <x:c r="F305" s="12"/>
      <x:c r="G305" s="12"/>
      <x:c r="H305" s="12"/>
      <x:c r="I305" s="12"/>
      <x:c r="J305" s="12"/>
      <x:c r="K305" s="12"/>
      <x:c r="L305" s="12"/>
      <x:c r="M305" s="12"/>
      <x:c r="N305" s="12"/>
      <x:c r="O305" s="12"/>
      <x:c r="P305" s="12"/>
      <x:c r="Q305" s="12"/>
      <x:c r="R305" s="12"/>
      <x:c r="S305" s="12"/>
      <x:c r="T305" s="12"/>
    </x:row>
    <x:row r="306">
      <x:c r="A306" s="12"/>
      <x:c r="B306" s="12"/>
      <x:c r="C306" s="12"/>
      <x:c r="D306" s="12"/>
      <x:c r="E306" s="12"/>
      <x:c r="F306" s="12"/>
      <x:c r="G306" s="12"/>
      <x:c r="H306" s="12"/>
      <x:c r="I306" s="12"/>
      <x:c r="J306" s="12"/>
      <x:c r="K306" s="12"/>
      <x:c r="L306" s="12"/>
      <x:c r="M306" s="12"/>
      <x:c r="N306" s="12"/>
      <x:c r="O306" s="12"/>
      <x:c r="P306" s="12"/>
      <x:c r="Q306" s="12"/>
      <x:c r="R306" s="12"/>
      <x:c r="S306" s="12"/>
      <x:c r="T306" s="12"/>
    </x:row>
    <x:row r="307">
      <x:c r="A307" s="12"/>
      <x:c r="B307" s="12"/>
      <x:c r="C307" s="12"/>
      <x:c r="D307" s="12"/>
      <x:c r="E307" s="12"/>
      <x:c r="F307" s="12"/>
      <x:c r="G307" s="12"/>
      <x:c r="H307" s="12"/>
      <x:c r="I307" s="12"/>
      <x:c r="J307" s="12"/>
      <x:c r="K307" s="12"/>
      <x:c r="L307" s="12"/>
      <x:c r="M307" s="12"/>
      <x:c r="N307" s="12"/>
      <x:c r="O307" s="12"/>
      <x:c r="P307" s="12"/>
      <x:c r="Q307" s="12"/>
      <x:c r="R307" s="12"/>
      <x:c r="S307" s="12"/>
      <x:c r="T307" s="12"/>
    </x:row>
    <x:row r="308">
      <x:c r="A308" s="12"/>
      <x:c r="B308" s="12"/>
      <x:c r="C308" s="12"/>
      <x:c r="D308" s="12"/>
      <x:c r="E308" s="12"/>
      <x:c r="F308" s="12"/>
      <x:c r="G308" s="12"/>
      <x:c r="H308" s="12"/>
      <x:c r="I308" s="12"/>
      <x:c r="J308" s="12"/>
      <x:c r="K308" s="12"/>
      <x:c r="L308" s="12"/>
      <x:c r="M308" s="12"/>
      <x:c r="N308" s="12"/>
      <x:c r="O308" s="12"/>
      <x:c r="P308" s="12"/>
      <x:c r="Q308" s="12"/>
      <x:c r="R308" s="12"/>
      <x:c r="S308" s="12"/>
      <x:c r="T308" s="12"/>
    </x:row>
    <x:row r="309">
      <x:c r="A309" s="12"/>
      <x:c r="B309" s="12"/>
      <x:c r="C309" s="12"/>
      <x:c r="D309" s="12"/>
      <x:c r="E309" s="12"/>
      <x:c r="F309" s="12"/>
      <x:c r="G309" s="12"/>
      <x:c r="H309" s="12"/>
      <x:c r="I309" s="12"/>
      <x:c r="J309" s="12"/>
      <x:c r="K309" s="12"/>
      <x:c r="L309" s="12"/>
      <x:c r="M309" s="12"/>
      <x:c r="N309" s="12"/>
      <x:c r="O309" s="12"/>
      <x:c r="P309" s="12"/>
      <x:c r="Q309" s="12"/>
      <x:c r="R309" s="12"/>
      <x:c r="S309" s="12"/>
      <x:c r="T309" s="12"/>
    </x:row>
    <x:row r="310">
      <x:c r="A310" s="12"/>
      <x:c r="B310" s="12"/>
      <x:c r="C310" s="12"/>
      <x:c r="D310" s="12"/>
      <x:c r="E310" s="12"/>
      <x:c r="F310" s="12"/>
      <x:c r="G310" s="12"/>
      <x:c r="H310" s="12"/>
      <x:c r="I310" s="12"/>
      <x:c r="J310" s="12"/>
      <x:c r="K310" s="12"/>
      <x:c r="L310" s="12"/>
      <x:c r="M310" s="12"/>
      <x:c r="N310" s="12"/>
      <x:c r="O310" s="12"/>
      <x:c r="P310" s="12"/>
      <x:c r="Q310" s="12"/>
      <x:c r="R310" s="12"/>
      <x:c r="S310" s="12"/>
      <x:c r="T310" s="12"/>
    </x:row>
    <x:row r="311">
      <x:c r="A311" s="12"/>
      <x:c r="B311" s="12"/>
      <x:c r="C311" s="12"/>
      <x:c r="D311" s="12"/>
      <x:c r="E311" s="12"/>
      <x:c r="F311" s="12"/>
      <x:c r="G311" s="12"/>
      <x:c r="H311" s="12"/>
      <x:c r="I311" s="12"/>
      <x:c r="J311" s="12"/>
      <x:c r="K311" s="12"/>
      <x:c r="L311" s="12"/>
      <x:c r="M311" s="12"/>
      <x:c r="N311" s="12"/>
      <x:c r="O311" s="12"/>
      <x:c r="P311" s="12"/>
      <x:c r="Q311" s="12"/>
      <x:c r="R311" s="12"/>
      <x:c r="S311" s="12"/>
      <x:c r="T311" s="12"/>
    </x:row>
    <x:row r="312">
      <x:c r="A312" s="12"/>
      <x:c r="B312" s="12"/>
      <x:c r="C312" s="12"/>
      <x:c r="D312" s="12"/>
      <x:c r="E312" s="12"/>
      <x:c r="F312" s="12"/>
      <x:c r="G312" s="12"/>
      <x:c r="H312" s="12"/>
      <x:c r="I312" s="12"/>
      <x:c r="J312" s="12"/>
      <x:c r="K312" s="12"/>
      <x:c r="L312" s="12"/>
      <x:c r="M312" s="12"/>
      <x:c r="N312" s="12"/>
      <x:c r="O312" s="12"/>
      <x:c r="P312" s="12"/>
      <x:c r="Q312" s="12"/>
      <x:c r="R312" s="12"/>
      <x:c r="S312" s="12"/>
      <x:c r="T312" s="12"/>
    </x:row>
    <x:row r="313">
      <x:c r="A313" s="12"/>
      <x:c r="B313" s="12"/>
      <x:c r="C313" s="12"/>
      <x:c r="D313" s="12"/>
      <x:c r="E313" s="12"/>
      <x:c r="F313" s="12"/>
      <x:c r="G313" s="12"/>
      <x:c r="H313" s="12"/>
      <x:c r="I313" s="12"/>
      <x:c r="J313" s="12"/>
      <x:c r="K313" s="12"/>
      <x:c r="L313" s="12"/>
      <x:c r="M313" s="12"/>
      <x:c r="N313" s="12"/>
      <x:c r="O313" s="12"/>
      <x:c r="P313" s="12"/>
      <x:c r="Q313" s="12"/>
      <x:c r="R313" s="12"/>
      <x:c r="S313" s="12"/>
      <x:c r="T313" s="12"/>
    </x:row>
    <x:row r="314">
      <x:c r="A314" s="12"/>
      <x:c r="B314" s="12"/>
      <x:c r="C314" s="12"/>
      <x:c r="D314" s="12"/>
      <x:c r="E314" s="12"/>
      <x:c r="F314" s="12"/>
      <x:c r="G314" s="12"/>
      <x:c r="H314" s="12"/>
      <x:c r="I314" s="12"/>
      <x:c r="J314" s="12"/>
      <x:c r="K314" s="12"/>
      <x:c r="L314" s="12"/>
      <x:c r="M314" s="12"/>
      <x:c r="N314" s="12"/>
      <x:c r="O314" s="12"/>
      <x:c r="P314" s="12"/>
      <x:c r="Q314" s="12"/>
      <x:c r="R314" s="12"/>
      <x:c r="S314" s="12"/>
      <x:c r="T314" s="12"/>
    </x:row>
    <x:row r="315">
      <x:c r="A315" s="12"/>
      <x:c r="B315" s="12"/>
      <x:c r="C315" s="12"/>
      <x:c r="D315" s="12"/>
      <x:c r="E315" s="12"/>
      <x:c r="F315" s="12"/>
      <x:c r="G315" s="12"/>
      <x:c r="H315" s="12"/>
      <x:c r="I315" s="12"/>
      <x:c r="J315" s="12"/>
      <x:c r="K315" s="12"/>
      <x:c r="L315" s="12"/>
      <x:c r="M315" s="12"/>
      <x:c r="N315" s="12"/>
      <x:c r="O315" s="12"/>
      <x:c r="P315" s="12"/>
      <x:c r="Q315" s="12"/>
      <x:c r="R315" s="12"/>
      <x:c r="S315" s="12"/>
      <x:c r="T315" s="12"/>
    </x:row>
    <x:row r="316">
      <x:c r="A316" s="12"/>
      <x:c r="B316" s="12"/>
      <x:c r="C316" s="12"/>
      <x:c r="D316" s="12"/>
      <x:c r="E316" s="12"/>
      <x:c r="F316" s="12"/>
      <x:c r="G316" s="12"/>
      <x:c r="H316" s="12"/>
      <x:c r="I316" s="12"/>
      <x:c r="J316" s="12"/>
      <x:c r="K316" s="12"/>
      <x:c r="L316" s="12"/>
      <x:c r="M316" s="12"/>
      <x:c r="N316" s="12"/>
      <x:c r="O316" s="12"/>
      <x:c r="P316" s="12"/>
      <x:c r="Q316" s="12"/>
      <x:c r="R316" s="12"/>
      <x:c r="S316" s="12"/>
      <x:c r="T316" s="12"/>
    </x:row>
    <x:row r="317">
      <x:c r="A317" s="12"/>
      <x:c r="B317" s="12"/>
      <x:c r="C317" s="12"/>
      <x:c r="D317" s="12"/>
      <x:c r="E317" s="12"/>
      <x:c r="F317" s="12"/>
      <x:c r="G317" s="12"/>
      <x:c r="H317" s="12"/>
      <x:c r="I317" s="12"/>
      <x:c r="J317" s="12"/>
      <x:c r="K317" s="12"/>
      <x:c r="L317" s="12"/>
      <x:c r="M317" s="12"/>
      <x:c r="N317" s="12"/>
      <x:c r="O317" s="12"/>
      <x:c r="P317" s="12"/>
      <x:c r="Q317" s="12"/>
      <x:c r="R317" s="12"/>
      <x:c r="S317" s="12"/>
      <x:c r="T317" s="12"/>
    </x:row>
    <x:row r="318">
      <x:c r="A318" s="12"/>
      <x:c r="B318" s="12"/>
      <x:c r="C318" s="12"/>
      <x:c r="D318" s="12"/>
      <x:c r="E318" s="12"/>
      <x:c r="F318" s="12"/>
      <x:c r="G318" s="12"/>
      <x:c r="H318" s="12"/>
      <x:c r="I318" s="12"/>
      <x:c r="J318" s="12"/>
      <x:c r="K318" s="12"/>
      <x:c r="L318" s="12"/>
      <x:c r="M318" s="12"/>
      <x:c r="N318" s="12"/>
      <x:c r="O318" s="12"/>
      <x:c r="P318" s="12"/>
      <x:c r="Q318" s="12"/>
      <x:c r="R318" s="12"/>
      <x:c r="S318" s="12"/>
      <x:c r="T318" s="12"/>
    </x:row>
    <x:row r="319">
      <x:c r="A319" s="12"/>
      <x:c r="B319" s="12"/>
      <x:c r="C319" s="12"/>
      <x:c r="D319" s="12"/>
      <x:c r="E319" s="12"/>
      <x:c r="F319" s="12"/>
      <x:c r="G319" s="12"/>
      <x:c r="H319" s="12"/>
      <x:c r="I319" s="12"/>
      <x:c r="J319" s="12"/>
      <x:c r="K319" s="12"/>
      <x:c r="L319" s="12"/>
      <x:c r="M319" s="12"/>
      <x:c r="N319" s="12"/>
      <x:c r="O319" s="12"/>
      <x:c r="P319" s="12"/>
      <x:c r="Q319" s="12"/>
      <x:c r="R319" s="12"/>
      <x:c r="S319" s="12"/>
      <x:c r="T319" s="12"/>
    </x:row>
    <x:row r="320">
      <x:c r="A320" s="12"/>
      <x:c r="B320" s="12"/>
      <x:c r="C320" s="12"/>
      <x:c r="D320" s="12"/>
      <x:c r="E320" s="12"/>
      <x:c r="F320" s="12"/>
      <x:c r="G320" s="12"/>
      <x:c r="H320" s="12"/>
      <x:c r="I320" s="12"/>
      <x:c r="J320" s="12"/>
      <x:c r="K320" s="12"/>
      <x:c r="L320" s="12"/>
      <x:c r="M320" s="12"/>
      <x:c r="N320" s="12"/>
      <x:c r="O320" s="12"/>
      <x:c r="P320" s="12"/>
      <x:c r="Q320" s="12"/>
      <x:c r="R320" s="12"/>
      <x:c r="S320" s="12"/>
      <x:c r="T320" s="12"/>
    </x:row>
    <x:row r="321">
      <x:c r="A321" s="12"/>
      <x:c r="B321" s="12"/>
      <x:c r="C321" s="12"/>
      <x:c r="D321" s="12"/>
      <x:c r="E321" s="12"/>
      <x:c r="F321" s="12"/>
      <x:c r="G321" s="12"/>
      <x:c r="H321" s="12"/>
      <x:c r="I321" s="12"/>
      <x:c r="J321" s="12"/>
      <x:c r="K321" s="12"/>
      <x:c r="L321" s="12"/>
      <x:c r="M321" s="12"/>
      <x:c r="N321" s="12"/>
      <x:c r="O321" s="12"/>
      <x:c r="P321" s="12"/>
      <x:c r="Q321" s="12"/>
      <x:c r="R321" s="12"/>
      <x:c r="S321" s="12"/>
      <x:c r="T321" s="12"/>
    </x:row>
    <x:row r="322">
      <x:c r="A322" s="12"/>
      <x:c r="B322" s="12"/>
      <x:c r="C322" s="12"/>
      <x:c r="D322" s="12"/>
      <x:c r="E322" s="12"/>
      <x:c r="F322" s="12"/>
      <x:c r="G322" s="12"/>
      <x:c r="H322" s="12"/>
      <x:c r="I322" s="12"/>
      <x:c r="J322" s="12"/>
      <x:c r="K322" s="12"/>
      <x:c r="L322" s="12"/>
      <x:c r="M322" s="12"/>
      <x:c r="N322" s="12"/>
      <x:c r="O322" s="12"/>
      <x:c r="P322" s="12"/>
      <x:c r="Q322" s="12"/>
      <x:c r="R322" s="12"/>
      <x:c r="S322" s="12"/>
      <x:c r="T322" s="12"/>
    </x:row>
    <x:row r="323">
      <x:c r="A323" s="12"/>
      <x:c r="B323" s="12"/>
      <x:c r="C323" s="12"/>
      <x:c r="D323" s="12"/>
      <x:c r="E323" s="12"/>
      <x:c r="F323" s="12"/>
      <x:c r="G323" s="12"/>
      <x:c r="H323" s="12"/>
      <x:c r="I323" s="12"/>
      <x:c r="J323" s="12"/>
      <x:c r="K323" s="12"/>
      <x:c r="L323" s="12"/>
      <x:c r="M323" s="12"/>
      <x:c r="N323" s="12"/>
      <x:c r="O323" s="12"/>
      <x:c r="P323" s="12"/>
      <x:c r="Q323" s="12"/>
      <x:c r="R323" s="12"/>
      <x:c r="S323" s="12"/>
      <x:c r="T323" s="12"/>
    </x:row>
    <x:row r="324">
      <x:c r="A324" s="12"/>
      <x:c r="B324" s="12"/>
      <x:c r="C324" s="12"/>
      <x:c r="D324" s="12"/>
      <x:c r="E324" s="12"/>
      <x:c r="F324" s="12"/>
      <x:c r="G324" s="12"/>
      <x:c r="H324" s="12"/>
      <x:c r="I324" s="12"/>
      <x:c r="J324" s="12"/>
      <x:c r="K324" s="12"/>
      <x:c r="L324" s="12"/>
      <x:c r="M324" s="12"/>
      <x:c r="N324" s="12"/>
      <x:c r="O324" s="12"/>
      <x:c r="P324" s="12"/>
      <x:c r="Q324" s="12"/>
      <x:c r="R324" s="12"/>
      <x:c r="S324" s="12"/>
      <x:c r="T324" s="12"/>
    </x:row>
    <x:row r="325">
      <x:c r="A325" s="12"/>
      <x:c r="B325" s="12"/>
      <x:c r="C325" s="12"/>
      <x:c r="D325" s="12"/>
      <x:c r="E325" s="12"/>
      <x:c r="F325" s="12"/>
      <x:c r="G325" s="12"/>
      <x:c r="H325" s="12"/>
      <x:c r="I325" s="12"/>
      <x:c r="J325" s="12"/>
      <x:c r="K325" s="12"/>
      <x:c r="L325" s="12"/>
      <x:c r="M325" s="12"/>
      <x:c r="N325" s="12"/>
      <x:c r="O325" s="12"/>
      <x:c r="P325" s="12"/>
      <x:c r="Q325" s="12"/>
      <x:c r="R325" s="12"/>
      <x:c r="S325" s="12"/>
      <x:c r="T325" s="12"/>
    </x:row>
    <x:row r="326">
      <x:c r="A326" s="12"/>
      <x:c r="B326" s="12"/>
      <x:c r="C326" s="12"/>
      <x:c r="D326" s="12"/>
      <x:c r="E326" s="12"/>
      <x:c r="F326" s="12"/>
      <x:c r="G326" s="12"/>
      <x:c r="H326" s="12"/>
      <x:c r="I326" s="12"/>
      <x:c r="J326" s="12"/>
      <x:c r="K326" s="12"/>
      <x:c r="L326" s="12"/>
      <x:c r="M326" s="12"/>
      <x:c r="N326" s="12"/>
      <x:c r="O326" s="12"/>
      <x:c r="P326" s="12"/>
      <x:c r="Q326" s="12"/>
      <x:c r="R326" s="12"/>
      <x:c r="S326" s="12"/>
      <x:c r="T326" s="12"/>
    </x:row>
    <x:row r="327">
      <x:c r="A327" s="12"/>
      <x:c r="B327" s="12"/>
      <x:c r="C327" s="12"/>
      <x:c r="D327" s="12"/>
      <x:c r="E327" s="12"/>
      <x:c r="F327" s="12"/>
      <x:c r="G327" s="12"/>
      <x:c r="H327" s="12"/>
      <x:c r="I327" s="12"/>
      <x:c r="J327" s="12"/>
      <x:c r="K327" s="12"/>
      <x:c r="L327" s="12"/>
      <x:c r="M327" s="12"/>
      <x:c r="N327" s="12"/>
      <x:c r="O327" s="12"/>
      <x:c r="P327" s="12"/>
      <x:c r="Q327" s="12"/>
      <x:c r="R327" s="12"/>
      <x:c r="S327" s="12"/>
      <x:c r="T327" s="12"/>
    </x:row>
    <x:row r="328">
      <x:c r="A328" s="12"/>
      <x:c r="B328" s="12"/>
      <x:c r="C328" s="12"/>
      <x:c r="D328" s="12"/>
      <x:c r="E328" s="12"/>
      <x:c r="F328" s="12"/>
      <x:c r="G328" s="12"/>
      <x:c r="H328" s="12"/>
      <x:c r="I328" s="12"/>
      <x:c r="J328" s="12"/>
      <x:c r="K328" s="12"/>
      <x:c r="L328" s="12"/>
      <x:c r="M328" s="12"/>
      <x:c r="N328" s="12"/>
      <x:c r="O328" s="12"/>
      <x:c r="P328" s="12"/>
      <x:c r="Q328" s="12"/>
      <x:c r="R328" s="12"/>
      <x:c r="S328" s="12"/>
      <x:c r="T328" s="12"/>
    </x:row>
    <x:row r="329">
      <x:c r="A329" s="12"/>
      <x:c r="B329" s="12"/>
      <x:c r="C329" s="12"/>
      <x:c r="D329" s="12"/>
      <x:c r="E329" s="12"/>
      <x:c r="F329" s="12"/>
      <x:c r="G329" s="12"/>
      <x:c r="H329" s="12"/>
      <x:c r="I329" s="12"/>
      <x:c r="J329" s="12"/>
      <x:c r="K329" s="12"/>
      <x:c r="L329" s="12"/>
      <x:c r="M329" s="12"/>
      <x:c r="N329" s="12"/>
      <x:c r="O329" s="12"/>
      <x:c r="P329" s="12"/>
      <x:c r="Q329" s="12"/>
      <x:c r="R329" s="12"/>
      <x:c r="S329" s="12"/>
      <x:c r="T329" s="12"/>
    </x:row>
    <x:row r="330">
      <x:c r="A330" s="12"/>
      <x:c r="B330" s="12"/>
      <x:c r="C330" s="12"/>
      <x:c r="D330" s="12"/>
      <x:c r="E330" s="12"/>
      <x:c r="F330" s="12"/>
      <x:c r="G330" s="12"/>
      <x:c r="H330" s="12"/>
      <x:c r="I330" s="12"/>
      <x:c r="J330" s="12"/>
      <x:c r="K330" s="12"/>
      <x:c r="L330" s="12"/>
      <x:c r="M330" s="12"/>
      <x:c r="N330" s="12"/>
      <x:c r="O330" s="12"/>
      <x:c r="P330" s="12"/>
      <x:c r="Q330" s="12"/>
      <x:c r="R330" s="12"/>
      <x:c r="S330" s="12"/>
      <x:c r="T330" s="12"/>
    </x:row>
    <x:row r="331">
      <x:c r="A331" s="12"/>
      <x:c r="B331" s="12"/>
      <x:c r="C331" s="12"/>
      <x:c r="D331" s="12"/>
      <x:c r="E331" s="12"/>
      <x:c r="F331" s="12"/>
      <x:c r="G331" s="12"/>
      <x:c r="H331" s="12"/>
      <x:c r="I331" s="12"/>
      <x:c r="J331" s="12"/>
      <x:c r="K331" s="12"/>
      <x:c r="L331" s="12"/>
      <x:c r="M331" s="12"/>
      <x:c r="N331" s="12"/>
      <x:c r="O331" s="12"/>
      <x:c r="P331" s="12"/>
      <x:c r="Q331" s="12"/>
      <x:c r="R331" s="12"/>
      <x:c r="S331" s="12"/>
      <x:c r="T331" s="12"/>
    </x:row>
    <x:row r="332">
      <x:c r="A332" s="12"/>
      <x:c r="B332" s="12"/>
      <x:c r="C332" s="12"/>
      <x:c r="D332" s="12"/>
      <x:c r="E332" s="12"/>
      <x:c r="F332" s="12"/>
      <x:c r="G332" s="12"/>
      <x:c r="H332" s="12"/>
      <x:c r="I332" s="12"/>
      <x:c r="J332" s="12"/>
      <x:c r="K332" s="12"/>
      <x:c r="L332" s="12"/>
      <x:c r="M332" s="12"/>
      <x:c r="N332" s="12"/>
      <x:c r="O332" s="12"/>
      <x:c r="P332" s="12"/>
      <x:c r="Q332" s="12"/>
      <x:c r="R332" s="12"/>
      <x:c r="S332" s="12"/>
      <x:c r="T332" s="12"/>
    </x:row>
    <x:row r="333">
      <x:c r="A333" s="12"/>
      <x:c r="B333" s="12"/>
      <x:c r="C333" s="12"/>
      <x:c r="D333" s="12"/>
      <x:c r="E333" s="12"/>
      <x:c r="F333" s="12"/>
      <x:c r="G333" s="12"/>
      <x:c r="H333" s="12"/>
      <x:c r="I333" s="12"/>
      <x:c r="J333" s="12"/>
      <x:c r="K333" s="12"/>
      <x:c r="L333" s="12"/>
      <x:c r="M333" s="12"/>
      <x:c r="N333" s="12"/>
      <x:c r="O333" s="12"/>
      <x:c r="P333" s="12"/>
      <x:c r="Q333" s="12"/>
      <x:c r="R333" s="12"/>
      <x:c r="S333" s="12"/>
      <x:c r="T333" s="12"/>
    </x:row>
    <x:row r="334">
      <x:c r="A334" s="12"/>
      <x:c r="B334" s="12"/>
      <x:c r="C334" s="12"/>
      <x:c r="D334" s="12"/>
      <x:c r="E334" s="12"/>
      <x:c r="F334" s="12"/>
      <x:c r="G334" s="12"/>
      <x:c r="H334" s="12"/>
      <x:c r="I334" s="12"/>
      <x:c r="J334" s="12"/>
      <x:c r="K334" s="12"/>
      <x:c r="L334" s="12"/>
      <x:c r="M334" s="12"/>
      <x:c r="N334" s="12"/>
      <x:c r="O334" s="12"/>
      <x:c r="P334" s="12"/>
      <x:c r="Q334" s="12"/>
      <x:c r="R334" s="12"/>
      <x:c r="S334" s="12"/>
      <x:c r="T334" s="12"/>
    </x:row>
    <x:row r="335">
      <x:c r="A335" s="12"/>
      <x:c r="B335" s="12"/>
      <x:c r="C335" s="12"/>
      <x:c r="D335" s="12"/>
      <x:c r="E335" s="12"/>
      <x:c r="F335" s="12"/>
      <x:c r="G335" s="12"/>
      <x:c r="H335" s="12"/>
      <x:c r="I335" s="12"/>
      <x:c r="J335" s="12"/>
      <x:c r="K335" s="12"/>
      <x:c r="L335" s="12"/>
      <x:c r="M335" s="12"/>
      <x:c r="N335" s="12"/>
      <x:c r="O335" s="12"/>
      <x:c r="P335" s="12"/>
      <x:c r="Q335" s="12"/>
      <x:c r="R335" s="12"/>
      <x:c r="S335" s="12"/>
      <x:c r="T335" s="12"/>
    </x:row>
    <x:row r="336">
      <x:c r="A336" s="12"/>
      <x:c r="B336" s="12"/>
      <x:c r="C336" s="12"/>
      <x:c r="D336" s="12"/>
      <x:c r="E336" s="12"/>
      <x:c r="F336" s="12"/>
      <x:c r="G336" s="12"/>
      <x:c r="H336" s="12"/>
      <x:c r="I336" s="12"/>
      <x:c r="J336" s="12"/>
      <x:c r="K336" s="12"/>
      <x:c r="L336" s="12"/>
      <x:c r="M336" s="12"/>
      <x:c r="N336" s="12"/>
      <x:c r="O336" s="12"/>
      <x:c r="P336" s="12"/>
      <x:c r="Q336" s="12"/>
      <x:c r="R336" s="12"/>
      <x:c r="S336" s="12"/>
      <x:c r="T336" s="12"/>
    </x:row>
    <x:row r="337">
      <x:c r="A337" s="12"/>
      <x:c r="B337" s="12"/>
      <x:c r="C337" s="12"/>
      <x:c r="D337" s="12"/>
      <x:c r="E337" s="12"/>
      <x:c r="F337" s="12"/>
      <x:c r="G337" s="12"/>
      <x:c r="H337" s="12"/>
      <x:c r="I337" s="12"/>
      <x:c r="J337" s="12"/>
      <x:c r="K337" s="12"/>
      <x:c r="L337" s="12"/>
      <x:c r="M337" s="12"/>
      <x:c r="N337" s="12"/>
      <x:c r="O337" s="12"/>
      <x:c r="P337" s="12"/>
      <x:c r="Q337" s="12"/>
      <x:c r="R337" s="12"/>
      <x:c r="S337" s="12"/>
      <x:c r="T337" s="12"/>
    </x:row>
    <x:row r="338">
      <x:c r="A338" s="12"/>
      <x:c r="B338" s="12"/>
      <x:c r="C338" s="12"/>
      <x:c r="D338" s="12"/>
      <x:c r="E338" s="12"/>
      <x:c r="F338" s="12"/>
      <x:c r="G338" s="12"/>
      <x:c r="H338" s="12"/>
      <x:c r="I338" s="12"/>
      <x:c r="J338" s="12"/>
      <x:c r="K338" s="12"/>
      <x:c r="L338" s="12"/>
      <x:c r="M338" s="12"/>
      <x:c r="N338" s="12"/>
      <x:c r="O338" s="12"/>
      <x:c r="P338" s="12"/>
      <x:c r="Q338" s="12"/>
      <x:c r="R338" s="12"/>
      <x:c r="S338" s="12"/>
      <x:c r="T338" s="12"/>
    </x:row>
    <x:row r="339">
      <x:c r="A339" s="12"/>
      <x:c r="B339" s="12"/>
      <x:c r="C339" s="12"/>
      <x:c r="D339" s="12"/>
      <x:c r="E339" s="12"/>
      <x:c r="F339" s="12"/>
      <x:c r="G339" s="12"/>
      <x:c r="H339" s="12"/>
      <x:c r="I339" s="12"/>
      <x:c r="J339" s="12"/>
      <x:c r="K339" s="12"/>
      <x:c r="L339" s="12"/>
      <x:c r="M339" s="12"/>
      <x:c r="N339" s="12"/>
      <x:c r="O339" s="12"/>
      <x:c r="P339" s="12"/>
      <x:c r="Q339" s="12"/>
      <x:c r="R339" s="12"/>
      <x:c r="S339" s="12"/>
      <x:c r="T339" s="12"/>
    </x:row>
    <x:row r="340">
      <x:c r="A340" s="12"/>
      <x:c r="B340" s="12"/>
      <x:c r="C340" s="12"/>
      <x:c r="D340" s="12"/>
      <x:c r="E340" s="12"/>
      <x:c r="F340" s="12"/>
      <x:c r="G340" s="12"/>
      <x:c r="H340" s="12"/>
      <x:c r="I340" s="12"/>
      <x:c r="J340" s="12"/>
      <x:c r="K340" s="12"/>
      <x:c r="L340" s="12"/>
      <x:c r="M340" s="12"/>
      <x:c r="N340" s="12"/>
      <x:c r="O340" s="12"/>
      <x:c r="P340" s="12"/>
      <x:c r="Q340" s="12"/>
      <x:c r="R340" s="12"/>
      <x:c r="S340" s="12"/>
      <x:c r="T340" s="12"/>
    </x:row>
    <x:row r="341">
      <x:c r="A341" s="12"/>
      <x:c r="B341" s="12"/>
      <x:c r="C341" s="12"/>
      <x:c r="D341" s="12"/>
      <x:c r="E341" s="12"/>
      <x:c r="F341" s="12"/>
      <x:c r="G341" s="12"/>
      <x:c r="H341" s="12"/>
      <x:c r="I341" s="12"/>
      <x:c r="J341" s="12"/>
      <x:c r="K341" s="12"/>
      <x:c r="L341" s="12"/>
      <x:c r="M341" s="12"/>
      <x:c r="N341" s="12"/>
      <x:c r="O341" s="12"/>
      <x:c r="P341" s="12"/>
      <x:c r="Q341" s="12"/>
      <x:c r="R341" s="12"/>
      <x:c r="S341" s="12"/>
      <x:c r="T341" s="12"/>
    </x:row>
    <x:row r="342">
      <x:c r="A342" s="12"/>
      <x:c r="B342" s="12"/>
      <x:c r="C342" s="12"/>
      <x:c r="D342" s="12"/>
      <x:c r="E342" s="12"/>
      <x:c r="F342" s="12"/>
      <x:c r="G342" s="12"/>
      <x:c r="H342" s="12"/>
      <x:c r="I342" s="12"/>
      <x:c r="J342" s="12"/>
      <x:c r="K342" s="12"/>
      <x:c r="L342" s="12"/>
      <x:c r="M342" s="12"/>
      <x:c r="N342" s="12"/>
      <x:c r="O342" s="12"/>
      <x:c r="P342" s="12"/>
      <x:c r="Q342" s="12"/>
      <x:c r="R342" s="12"/>
      <x:c r="S342" s="12"/>
      <x:c r="T342" s="12"/>
    </x:row>
    <x:row r="343">
      <x:c r="A343" s="12"/>
      <x:c r="B343" s="12"/>
      <x:c r="C343" s="12"/>
      <x:c r="D343" s="12"/>
      <x:c r="E343" s="12"/>
      <x:c r="F343" s="12"/>
      <x:c r="G343" s="12"/>
      <x:c r="H343" s="12"/>
      <x:c r="I343" s="12"/>
      <x:c r="J343" s="12"/>
      <x:c r="K343" s="12"/>
      <x:c r="L343" s="12"/>
      <x:c r="M343" s="12"/>
      <x:c r="N343" s="12"/>
      <x:c r="O343" s="12"/>
      <x:c r="P343" s="12"/>
      <x:c r="Q343" s="12"/>
      <x:c r="R343" s="12"/>
      <x:c r="S343" s="12"/>
      <x:c r="T343" s="12"/>
    </x:row>
    <x:row r="344">
      <x:c r="A344" s="12"/>
      <x:c r="B344" s="12"/>
      <x:c r="C344" s="12"/>
      <x:c r="D344" s="12"/>
      <x:c r="E344" s="12"/>
      <x:c r="F344" s="12"/>
      <x:c r="G344" s="12"/>
      <x:c r="H344" s="12"/>
      <x:c r="I344" s="12"/>
      <x:c r="J344" s="12"/>
      <x:c r="K344" s="12"/>
      <x:c r="L344" s="12"/>
      <x:c r="M344" s="12"/>
      <x:c r="N344" s="12"/>
      <x:c r="O344" s="12"/>
      <x:c r="P344" s="12"/>
      <x:c r="Q344" s="12"/>
      <x:c r="R344" s="12"/>
      <x:c r="S344" s="12"/>
      <x:c r="T344" s="12"/>
    </x:row>
    <x:row r="345">
      <x:c r="A345" s="12"/>
      <x:c r="B345" s="12"/>
      <x:c r="C345" s="12"/>
      <x:c r="D345" s="12"/>
      <x:c r="E345" s="12"/>
      <x:c r="F345" s="12"/>
      <x:c r="G345" s="12"/>
      <x:c r="H345" s="12"/>
      <x:c r="I345" s="12"/>
      <x:c r="J345" s="12"/>
      <x:c r="K345" s="12"/>
      <x:c r="L345" s="12"/>
      <x:c r="M345" s="12"/>
      <x:c r="N345" s="12"/>
      <x:c r="O345" s="12"/>
      <x:c r="P345" s="12"/>
      <x:c r="Q345" s="12"/>
      <x:c r="R345" s="12"/>
      <x:c r="S345" s="12"/>
      <x:c r="T345" s="12"/>
    </x:row>
    <x:row r="346">
      <x:c r="A346" s="12"/>
      <x:c r="B346" s="12"/>
      <x:c r="C346" s="12"/>
      <x:c r="D346" s="12"/>
      <x:c r="E346" s="12"/>
      <x:c r="F346" s="12"/>
      <x:c r="G346" s="12"/>
      <x:c r="H346" s="12"/>
      <x:c r="I346" s="12"/>
      <x:c r="J346" s="12"/>
      <x:c r="K346" s="12"/>
      <x:c r="L346" s="12"/>
      <x:c r="M346" s="12"/>
      <x:c r="N346" s="12"/>
      <x:c r="O346" s="12"/>
      <x:c r="P346" s="12"/>
      <x:c r="Q346" s="12"/>
      <x:c r="R346" s="12"/>
      <x:c r="S346" s="12"/>
      <x:c r="T346" s="12"/>
    </x:row>
    <x:row r="347">
      <x:c r="A347" s="12"/>
      <x:c r="B347" s="12"/>
      <x:c r="C347" s="12"/>
      <x:c r="D347" s="12"/>
      <x:c r="E347" s="12"/>
      <x:c r="F347" s="12"/>
      <x:c r="G347" s="12"/>
      <x:c r="H347" s="12"/>
      <x:c r="I347" s="12"/>
      <x:c r="J347" s="12"/>
      <x:c r="K347" s="12"/>
      <x:c r="L347" s="12"/>
      <x:c r="M347" s="12"/>
      <x:c r="N347" s="12"/>
      <x:c r="O347" s="12"/>
      <x:c r="P347" s="12"/>
      <x:c r="Q347" s="12"/>
      <x:c r="R347" s="12"/>
      <x:c r="S347" s="12"/>
      <x:c r="T347" s="12"/>
    </x:row>
    <x:row r="348">
      <x:c r="A348" s="12"/>
      <x:c r="B348" s="12"/>
      <x:c r="C348" s="12"/>
      <x:c r="D348" s="12"/>
      <x:c r="E348" s="12"/>
      <x:c r="F348" s="12"/>
      <x:c r="G348" s="12"/>
      <x:c r="H348" s="12"/>
      <x:c r="I348" s="12"/>
      <x:c r="J348" s="12"/>
      <x:c r="K348" s="12"/>
      <x:c r="L348" s="12"/>
      <x:c r="M348" s="12"/>
      <x:c r="N348" s="12"/>
      <x:c r="O348" s="12"/>
      <x:c r="P348" s="12"/>
      <x:c r="Q348" s="12"/>
      <x:c r="R348" s="12"/>
      <x:c r="S348" s="12"/>
      <x:c r="T348" s="12"/>
    </x:row>
    <x:row r="349">
      <x:c r="A349" s="12"/>
      <x:c r="B349" s="12"/>
      <x:c r="C349" s="12"/>
      <x:c r="D349" s="12"/>
      <x:c r="E349" s="12"/>
      <x:c r="F349" s="12"/>
      <x:c r="G349" s="12"/>
      <x:c r="H349" s="12"/>
      <x:c r="I349" s="12"/>
      <x:c r="J349" s="12"/>
      <x:c r="K349" s="12"/>
      <x:c r="L349" s="12"/>
      <x:c r="M349" s="12"/>
      <x:c r="N349" s="12"/>
      <x:c r="O349" s="12"/>
      <x:c r="P349" s="12"/>
      <x:c r="Q349" s="12"/>
      <x:c r="R349" s="12"/>
      <x:c r="S349" s="12"/>
      <x:c r="T349" s="12"/>
    </x:row>
    <x:row r="350">
      <x:c r="A350" s="12"/>
      <x:c r="B350" s="12"/>
      <x:c r="C350" s="12"/>
      <x:c r="D350" s="12"/>
      <x:c r="E350" s="12"/>
      <x:c r="F350" s="12"/>
      <x:c r="G350" s="12"/>
      <x:c r="H350" s="12"/>
      <x:c r="I350" s="12"/>
      <x:c r="J350" s="12"/>
      <x:c r="K350" s="12"/>
      <x:c r="L350" s="12"/>
      <x:c r="M350" s="12"/>
      <x:c r="N350" s="12"/>
      <x:c r="O350" s="12"/>
      <x:c r="P350" s="12"/>
      <x:c r="Q350" s="12"/>
      <x:c r="R350" s="12"/>
      <x:c r="S350" s="12"/>
      <x:c r="T350" s="12"/>
    </x:row>
    <x:row r="351">
      <x:c r="A351" s="12"/>
      <x:c r="B351" s="12"/>
      <x:c r="C351" s="12"/>
      <x:c r="D351" s="12"/>
      <x:c r="E351" s="12"/>
      <x:c r="F351" s="12"/>
      <x:c r="G351" s="12"/>
      <x:c r="H351" s="12"/>
      <x:c r="I351" s="12"/>
      <x:c r="J351" s="12"/>
      <x:c r="K351" s="12"/>
      <x:c r="L351" s="12"/>
      <x:c r="M351" s="12"/>
      <x:c r="N351" s="12"/>
      <x:c r="O351" s="12"/>
      <x:c r="P351" s="12"/>
      <x:c r="Q351" s="12"/>
      <x:c r="R351" s="12"/>
      <x:c r="S351" s="12"/>
      <x:c r="T351" s="12"/>
    </x:row>
    <x:row r="352">
      <x:c r="A352" s="12"/>
      <x:c r="B352" s="12"/>
      <x:c r="C352" s="12"/>
      <x:c r="D352" s="12"/>
      <x:c r="E352" s="12"/>
      <x:c r="F352" s="12"/>
      <x:c r="G352" s="12"/>
      <x:c r="H352" s="12"/>
      <x:c r="I352" s="12"/>
      <x:c r="J352" s="12"/>
      <x:c r="K352" s="12"/>
      <x:c r="L352" s="12"/>
      <x:c r="M352" s="12"/>
      <x:c r="N352" s="12"/>
      <x:c r="O352" s="12"/>
      <x:c r="P352" s="12"/>
      <x:c r="Q352" s="12"/>
      <x:c r="R352" s="12"/>
      <x:c r="S352" s="12"/>
      <x:c r="T352" s="12"/>
    </x:row>
    <x:row r="353">
      <x:c r="A353" s="12"/>
      <x:c r="B353" s="12"/>
      <x:c r="C353" s="12"/>
      <x:c r="D353" s="12"/>
      <x:c r="E353" s="12"/>
      <x:c r="F353" s="12"/>
      <x:c r="G353" s="12"/>
      <x:c r="H353" s="12"/>
      <x:c r="I353" s="12"/>
      <x:c r="J353" s="12"/>
      <x:c r="K353" s="12"/>
      <x:c r="L353" s="12"/>
      <x:c r="M353" s="12"/>
      <x:c r="N353" s="12"/>
      <x:c r="O353" s="12"/>
      <x:c r="P353" s="12"/>
      <x:c r="Q353" s="12"/>
      <x:c r="R353" s="12"/>
      <x:c r="S353" s="12"/>
      <x:c r="T353" s="12"/>
    </x:row>
    <x:row r="354">
      <x:c r="A354" s="12"/>
      <x:c r="B354" s="12"/>
      <x:c r="C354" s="12"/>
      <x:c r="D354" s="12"/>
      <x:c r="E354" s="12"/>
      <x:c r="F354" s="12"/>
      <x:c r="G354" s="12"/>
      <x:c r="H354" s="12"/>
      <x:c r="I354" s="12"/>
      <x:c r="J354" s="12"/>
      <x:c r="K354" s="12"/>
      <x:c r="L354" s="12"/>
      <x:c r="M354" s="12"/>
      <x:c r="N354" s="12"/>
      <x:c r="O354" s="12"/>
      <x:c r="P354" s="12"/>
      <x:c r="Q354" s="12"/>
      <x:c r="R354" s="12"/>
      <x:c r="S354" s="12"/>
      <x:c r="T354" s="12"/>
    </x:row>
    <x:row r="355">
      <x:c r="A355" s="12"/>
      <x:c r="B355" s="12"/>
      <x:c r="C355" s="12"/>
      <x:c r="D355" s="12"/>
      <x:c r="E355" s="12"/>
      <x:c r="F355" s="12"/>
      <x:c r="G355" s="12"/>
      <x:c r="H355" s="12"/>
      <x:c r="I355" s="12"/>
      <x:c r="J355" s="12"/>
      <x:c r="K355" s="12"/>
      <x:c r="L355" s="12"/>
      <x:c r="M355" s="12"/>
      <x:c r="N355" s="12"/>
      <x:c r="O355" s="12"/>
      <x:c r="P355" s="12"/>
      <x:c r="Q355" s="12"/>
      <x:c r="R355" s="12"/>
      <x:c r="S355" s="12"/>
      <x:c r="T355" s="12"/>
    </x:row>
    <x:row r="356">
      <x:c r="A356" s="12"/>
      <x:c r="B356" s="12"/>
      <x:c r="C356" s="12"/>
      <x:c r="D356" s="12"/>
      <x:c r="E356" s="12"/>
      <x:c r="F356" s="12"/>
      <x:c r="G356" s="12"/>
      <x:c r="H356" s="12"/>
      <x:c r="I356" s="12"/>
      <x:c r="J356" s="12"/>
      <x:c r="K356" s="12"/>
      <x:c r="L356" s="12"/>
      <x:c r="M356" s="12"/>
      <x:c r="N356" s="12"/>
      <x:c r="O356" s="12"/>
      <x:c r="P356" s="12"/>
      <x:c r="Q356" s="12"/>
      <x:c r="R356" s="12"/>
      <x:c r="S356" s="12"/>
      <x:c r="T356" s="12"/>
    </x:row>
    <x:row r="357">
      <x:c r="A357" s="12"/>
      <x:c r="B357" s="12"/>
      <x:c r="C357" s="12"/>
      <x:c r="D357" s="12"/>
      <x:c r="E357" s="12"/>
      <x:c r="F357" s="12"/>
      <x:c r="G357" s="12"/>
      <x:c r="H357" s="12"/>
      <x:c r="I357" s="12"/>
      <x:c r="J357" s="12"/>
      <x:c r="K357" s="12"/>
      <x:c r="L357" s="12"/>
      <x:c r="M357" s="12"/>
      <x:c r="N357" s="12"/>
      <x:c r="O357" s="12"/>
      <x:c r="P357" s="12"/>
      <x:c r="Q357" s="12"/>
      <x:c r="R357" s="12"/>
      <x:c r="S357" s="12"/>
      <x:c r="T357" s="12"/>
    </x:row>
    <x:row r="358">
      <x:c r="A358" s="12"/>
      <x:c r="B358" s="12"/>
      <x:c r="C358" s="12"/>
      <x:c r="D358" s="12"/>
      <x:c r="E358" s="12"/>
      <x:c r="F358" s="12"/>
      <x:c r="G358" s="12"/>
      <x:c r="H358" s="12"/>
      <x:c r="I358" s="12"/>
      <x:c r="J358" s="12"/>
      <x:c r="K358" s="12"/>
      <x:c r="L358" s="12"/>
      <x:c r="M358" s="12"/>
      <x:c r="N358" s="12"/>
      <x:c r="O358" s="12"/>
      <x:c r="P358" s="12"/>
      <x:c r="Q358" s="12"/>
      <x:c r="R358" s="12"/>
      <x:c r="S358" s="12"/>
      <x:c r="T358" s="12"/>
    </x:row>
    <x:row r="359">
      <x:c r="A359" s="12"/>
      <x:c r="B359" s="12"/>
      <x:c r="C359" s="12"/>
      <x:c r="D359" s="12"/>
      <x:c r="E359" s="12"/>
      <x:c r="F359" s="12"/>
      <x:c r="G359" s="12"/>
      <x:c r="H359" s="12"/>
      <x:c r="I359" s="12"/>
      <x:c r="J359" s="12"/>
      <x:c r="K359" s="12"/>
      <x:c r="L359" s="12"/>
      <x:c r="M359" s="12"/>
      <x:c r="N359" s="12"/>
      <x:c r="O359" s="12"/>
      <x:c r="P359" s="12"/>
      <x:c r="Q359" s="12"/>
      <x:c r="R359" s="12"/>
      <x:c r="S359" s="12"/>
      <x:c r="T359" s="12"/>
    </x:row>
    <x:row r="360">
      <x:c r="A360" s="12"/>
      <x:c r="B360" s="12"/>
      <x:c r="C360" s="12"/>
      <x:c r="D360" s="12"/>
      <x:c r="E360" s="12"/>
      <x:c r="F360" s="12"/>
      <x:c r="G360" s="12"/>
      <x:c r="H360" s="12"/>
      <x:c r="I360" s="12"/>
      <x:c r="J360" s="12"/>
      <x:c r="K360" s="12"/>
      <x:c r="L360" s="12"/>
      <x:c r="M360" s="12"/>
      <x:c r="N360" s="12"/>
      <x:c r="O360" s="12"/>
      <x:c r="P360" s="12"/>
      <x:c r="Q360" s="12"/>
      <x:c r="R360" s="12"/>
      <x:c r="S360" s="12"/>
      <x:c r="T360" s="12"/>
    </x:row>
    <x:row r="361">
      <x:c r="A361" s="12"/>
      <x:c r="B361" s="12"/>
      <x:c r="C361" s="12"/>
      <x:c r="D361" s="12"/>
      <x:c r="E361" s="12"/>
      <x:c r="F361" s="12"/>
      <x:c r="G361" s="12"/>
      <x:c r="H361" s="12"/>
      <x:c r="I361" s="12"/>
      <x:c r="J361" s="12"/>
      <x:c r="K361" s="12"/>
      <x:c r="L361" s="12"/>
      <x:c r="M361" s="12"/>
      <x:c r="N361" s="12"/>
      <x:c r="O361" s="12"/>
      <x:c r="P361" s="12"/>
      <x:c r="Q361" s="12"/>
      <x:c r="R361" s="12"/>
      <x:c r="S361" s="12"/>
      <x:c r="T361" s="12"/>
    </x:row>
    <x:row r="362">
      <x:c r="A362" s="12"/>
      <x:c r="B362" s="12"/>
      <x:c r="C362" s="12"/>
      <x:c r="D362" s="12"/>
      <x:c r="E362" s="12"/>
      <x:c r="F362" s="12"/>
      <x:c r="G362" s="12"/>
      <x:c r="H362" s="12"/>
      <x:c r="I362" s="12"/>
      <x:c r="J362" s="12"/>
      <x:c r="K362" s="12"/>
      <x:c r="L362" s="12"/>
      <x:c r="M362" s="12"/>
      <x:c r="N362" s="12"/>
      <x:c r="O362" s="12"/>
      <x:c r="P362" s="12"/>
      <x:c r="Q362" s="12"/>
      <x:c r="R362" s="12"/>
      <x:c r="S362" s="12"/>
      <x:c r="T362" s="12"/>
    </x:row>
    <x:row r="363">
      <x:c r="A363" s="12"/>
      <x:c r="B363" s="12"/>
      <x:c r="C363" s="12"/>
      <x:c r="D363" s="12"/>
      <x:c r="E363" s="12"/>
      <x:c r="F363" s="12"/>
      <x:c r="G363" s="12"/>
      <x:c r="H363" s="12"/>
      <x:c r="I363" s="12"/>
      <x:c r="J363" s="12"/>
      <x:c r="K363" s="12"/>
      <x:c r="L363" s="12"/>
      <x:c r="M363" s="12"/>
      <x:c r="N363" s="12"/>
      <x:c r="O363" s="12"/>
      <x:c r="P363" s="12"/>
      <x:c r="Q363" s="12"/>
      <x:c r="R363" s="12"/>
      <x:c r="S363" s="12"/>
      <x:c r="T363" s="12"/>
    </x:row>
    <x:row r="364">
      <x:c r="A364" s="12"/>
      <x:c r="B364" s="12"/>
      <x:c r="C364" s="12"/>
      <x:c r="D364" s="12"/>
      <x:c r="E364" s="12"/>
      <x:c r="F364" s="12"/>
      <x:c r="G364" s="12"/>
      <x:c r="H364" s="12"/>
      <x:c r="I364" s="12"/>
      <x:c r="J364" s="12"/>
      <x:c r="K364" s="12"/>
      <x:c r="L364" s="12"/>
      <x:c r="M364" s="12"/>
      <x:c r="N364" s="12"/>
      <x:c r="O364" s="12"/>
      <x:c r="P364" s="12"/>
      <x:c r="Q364" s="12"/>
      <x:c r="R364" s="12"/>
      <x:c r="S364" s="12"/>
      <x:c r="T364" s="12"/>
    </x:row>
    <x:row r="365">
      <x:c r="A365" s="12"/>
      <x:c r="B365" s="12"/>
      <x:c r="C365" s="12"/>
      <x:c r="D365" s="12"/>
      <x:c r="E365" s="12"/>
      <x:c r="F365" s="12"/>
      <x:c r="G365" s="12"/>
      <x:c r="H365" s="12"/>
      <x:c r="I365" s="12"/>
      <x:c r="J365" s="12"/>
      <x:c r="K365" s="12"/>
      <x:c r="L365" s="12"/>
      <x:c r="M365" s="12"/>
      <x:c r="N365" s="12"/>
      <x:c r="O365" s="12"/>
      <x:c r="P365" s="12"/>
      <x:c r="Q365" s="12"/>
      <x:c r="R365" s="12"/>
      <x:c r="S365" s="12"/>
      <x:c r="T365" s="12"/>
    </x:row>
    <x:row r="366">
      <x:c r="A366" s="12"/>
      <x:c r="B366" s="12"/>
      <x:c r="C366" s="12"/>
      <x:c r="D366" s="12"/>
      <x:c r="E366" s="12"/>
      <x:c r="F366" s="12"/>
      <x:c r="G366" s="12"/>
      <x:c r="H366" s="12"/>
      <x:c r="I366" s="12"/>
      <x:c r="J366" s="12"/>
      <x:c r="K366" s="12"/>
      <x:c r="L366" s="12"/>
      <x:c r="M366" s="12"/>
      <x:c r="N366" s="12"/>
      <x:c r="O366" s="12"/>
      <x:c r="P366" s="12"/>
      <x:c r="Q366" s="12"/>
      <x:c r="R366" s="12"/>
      <x:c r="S366" s="12"/>
      <x:c r="T366" s="12"/>
    </x:row>
    <x:row r="367">
      <x:c r="A367" s="12"/>
      <x:c r="B367" s="12"/>
      <x:c r="C367" s="12"/>
      <x:c r="D367" s="12"/>
      <x:c r="E367" s="12"/>
      <x:c r="F367" s="12"/>
      <x:c r="G367" s="12"/>
      <x:c r="H367" s="12"/>
      <x:c r="I367" s="12"/>
      <x:c r="J367" s="12"/>
      <x:c r="K367" s="12"/>
      <x:c r="L367" s="12"/>
      <x:c r="M367" s="12"/>
      <x:c r="N367" s="12"/>
      <x:c r="O367" s="12"/>
      <x:c r="P367" s="12"/>
      <x:c r="Q367" s="12"/>
      <x:c r="R367" s="12"/>
      <x:c r="S367" s="12"/>
      <x:c r="T367" s="12"/>
    </x:row>
    <x:row r="368">
      <x:c r="A368" s="12"/>
      <x:c r="B368" s="12"/>
      <x:c r="C368" s="12"/>
      <x:c r="D368" s="12"/>
      <x:c r="E368" s="12"/>
      <x:c r="F368" s="12"/>
      <x:c r="G368" s="12"/>
      <x:c r="H368" s="12"/>
      <x:c r="I368" s="12"/>
      <x:c r="J368" s="12"/>
      <x:c r="K368" s="12"/>
      <x:c r="L368" s="12"/>
      <x:c r="M368" s="12"/>
      <x:c r="N368" s="12"/>
      <x:c r="O368" s="12"/>
      <x:c r="P368" s="12"/>
      <x:c r="Q368" s="12"/>
      <x:c r="R368" s="12"/>
      <x:c r="S368" s="12"/>
      <x:c r="T368" s="12"/>
    </x:row>
    <x:row r="369">
      <x:c r="A369" s="12"/>
      <x:c r="B369" s="12"/>
      <x:c r="C369" s="12"/>
      <x:c r="D369" s="12"/>
      <x:c r="E369" s="12"/>
      <x:c r="F369" s="12"/>
      <x:c r="G369" s="12"/>
      <x:c r="H369" s="12"/>
      <x:c r="I369" s="12"/>
      <x:c r="J369" s="12"/>
      <x:c r="K369" s="12"/>
      <x:c r="L369" s="12"/>
      <x:c r="M369" s="12"/>
      <x:c r="N369" s="12"/>
      <x:c r="O369" s="12"/>
      <x:c r="P369" s="12"/>
      <x:c r="Q369" s="12"/>
      <x:c r="R369" s="12"/>
      <x:c r="S369" s="12"/>
      <x:c r="T369" s="12"/>
    </x:row>
    <x:row r="370">
      <x:c r="A370" s="12"/>
      <x:c r="B370" s="12"/>
      <x:c r="C370" s="12"/>
      <x:c r="D370" s="12"/>
      <x:c r="E370" s="12"/>
      <x:c r="F370" s="12"/>
      <x:c r="G370" s="12"/>
      <x:c r="H370" s="12"/>
      <x:c r="I370" s="12"/>
      <x:c r="J370" s="12"/>
      <x:c r="K370" s="12"/>
      <x:c r="L370" s="12"/>
      <x:c r="M370" s="12"/>
      <x:c r="N370" s="12"/>
      <x:c r="O370" s="12"/>
      <x:c r="P370" s="12"/>
      <x:c r="Q370" s="12"/>
      <x:c r="R370" s="12"/>
      <x:c r="S370" s="12"/>
      <x:c r="T370" s="12"/>
    </x:row>
    <x:row r="371">
      <x:c r="A371" s="12"/>
      <x:c r="B371" s="12"/>
      <x:c r="C371" s="12"/>
      <x:c r="D371" s="12"/>
      <x:c r="E371" s="12"/>
      <x:c r="F371" s="12"/>
      <x:c r="G371" s="12"/>
      <x:c r="H371" s="12"/>
      <x:c r="I371" s="12"/>
      <x:c r="J371" s="12"/>
      <x:c r="K371" s="12"/>
      <x:c r="L371" s="12"/>
      <x:c r="M371" s="12"/>
      <x:c r="N371" s="12"/>
      <x:c r="O371" s="12"/>
      <x:c r="P371" s="12"/>
      <x:c r="Q371" s="12"/>
      <x:c r="R371" s="12"/>
      <x:c r="S371" s="12"/>
      <x:c r="T371" s="12"/>
    </x:row>
    <x:row r="372">
      <x:c r="A372" s="12"/>
      <x:c r="B372" s="12"/>
      <x:c r="C372" s="12"/>
      <x:c r="D372" s="12"/>
      <x:c r="E372" s="12"/>
      <x:c r="F372" s="12"/>
      <x:c r="G372" s="12"/>
      <x:c r="H372" s="12"/>
      <x:c r="I372" s="12"/>
      <x:c r="J372" s="12"/>
      <x:c r="K372" s="12"/>
      <x:c r="L372" s="12"/>
      <x:c r="M372" s="12"/>
      <x:c r="N372" s="12"/>
      <x:c r="O372" s="12"/>
      <x:c r="P372" s="12"/>
      <x:c r="Q372" s="12"/>
      <x:c r="R372" s="12"/>
      <x:c r="S372" s="12"/>
      <x:c r="T372" s="12"/>
    </x:row>
    <x:row r="373">
      <x:c r="A373" s="12"/>
      <x:c r="B373" s="12"/>
      <x:c r="C373" s="12"/>
      <x:c r="D373" s="12"/>
      <x:c r="E373" s="12"/>
      <x:c r="F373" s="12"/>
      <x:c r="G373" s="12"/>
      <x:c r="H373" s="12"/>
      <x:c r="I373" s="12"/>
      <x:c r="J373" s="12"/>
      <x:c r="K373" s="12"/>
      <x:c r="L373" s="12"/>
      <x:c r="M373" s="12"/>
      <x:c r="N373" s="12"/>
      <x:c r="O373" s="12"/>
      <x:c r="P373" s="12"/>
      <x:c r="Q373" s="12"/>
      <x:c r="R373" s="12"/>
      <x:c r="S373" s="12"/>
      <x:c r="T373" s="12"/>
    </x:row>
    <x:row r="374">
      <x:c r="A374" s="12"/>
      <x:c r="B374" s="12"/>
      <x:c r="C374" s="12"/>
      <x:c r="D374" s="12"/>
      <x:c r="E374" s="12"/>
      <x:c r="F374" s="12"/>
      <x:c r="G374" s="12"/>
      <x:c r="H374" s="12"/>
      <x:c r="I374" s="12"/>
      <x:c r="J374" s="12"/>
      <x:c r="K374" s="12"/>
      <x:c r="L374" s="12"/>
      <x:c r="M374" s="12"/>
      <x:c r="N374" s="12"/>
      <x:c r="O374" s="12"/>
      <x:c r="P374" s="12"/>
      <x:c r="Q374" s="12"/>
      <x:c r="R374" s="12"/>
      <x:c r="S374" s="12"/>
      <x:c r="T374" s="12"/>
    </x:row>
    <x:row r="375">
      <x:c r="A375" s="12"/>
      <x:c r="B375" s="12"/>
      <x:c r="C375" s="12"/>
      <x:c r="D375" s="12"/>
      <x:c r="E375" s="12"/>
      <x:c r="F375" s="12"/>
      <x:c r="G375" s="12"/>
      <x:c r="H375" s="12"/>
      <x:c r="I375" s="12"/>
      <x:c r="J375" s="12"/>
      <x:c r="K375" s="12"/>
      <x:c r="L375" s="12"/>
      <x:c r="M375" s="12"/>
      <x:c r="N375" s="12"/>
      <x:c r="O375" s="12"/>
      <x:c r="P375" s="12"/>
      <x:c r="Q375" s="12"/>
      <x:c r="R375" s="12"/>
      <x:c r="S375" s="12"/>
      <x:c r="T375" s="12"/>
    </x:row>
    <x:row r="376">
      <x:c r="A376" s="12"/>
      <x:c r="B376" s="12"/>
      <x:c r="C376" s="12"/>
      <x:c r="D376" s="12"/>
      <x:c r="E376" s="12"/>
      <x:c r="F376" s="12"/>
      <x:c r="G376" s="12"/>
      <x:c r="H376" s="12"/>
      <x:c r="I376" s="12"/>
      <x:c r="J376" s="12"/>
      <x:c r="K376" s="12"/>
      <x:c r="L376" s="12"/>
      <x:c r="M376" s="12"/>
      <x:c r="N376" s="12"/>
      <x:c r="O376" s="12"/>
      <x:c r="P376" s="12"/>
      <x:c r="Q376" s="12"/>
      <x:c r="R376" s="12"/>
      <x:c r="S376" s="12"/>
      <x:c r="T376" s="12"/>
    </x:row>
    <x:row r="377">
      <x:c r="A377" s="12"/>
      <x:c r="B377" s="12"/>
      <x:c r="C377" s="12"/>
      <x:c r="D377" s="12"/>
      <x:c r="E377" s="12"/>
      <x:c r="F377" s="12"/>
      <x:c r="G377" s="12"/>
      <x:c r="H377" s="12"/>
      <x:c r="I377" s="12"/>
      <x:c r="J377" s="12"/>
      <x:c r="K377" s="12"/>
      <x:c r="L377" s="12"/>
      <x:c r="M377" s="12"/>
      <x:c r="N377" s="12"/>
      <x:c r="O377" s="12"/>
      <x:c r="P377" s="12"/>
      <x:c r="Q377" s="12"/>
      <x:c r="R377" s="12"/>
      <x:c r="S377" s="12"/>
      <x:c r="T377" s="12"/>
    </x:row>
    <x:row r="378">
      <x:c r="A378" s="12"/>
      <x:c r="B378" s="12"/>
      <x:c r="C378" s="12"/>
      <x:c r="D378" s="12"/>
      <x:c r="E378" s="12"/>
      <x:c r="F378" s="12"/>
      <x:c r="G378" s="12"/>
      <x:c r="H378" s="12"/>
      <x:c r="I378" s="12"/>
      <x:c r="J378" s="12"/>
      <x:c r="K378" s="12"/>
      <x:c r="L378" s="12"/>
      <x:c r="M378" s="12"/>
      <x:c r="N378" s="12"/>
      <x:c r="O378" s="12"/>
      <x:c r="P378" s="12"/>
      <x:c r="Q378" s="12"/>
      <x:c r="R378" s="12"/>
      <x:c r="S378" s="12"/>
      <x:c r="T378" s="12"/>
    </x:row>
    <x:row r="379">
      <x:c r="A379" s="12"/>
      <x:c r="B379" s="12"/>
      <x:c r="C379" s="12"/>
      <x:c r="D379" s="12"/>
      <x:c r="E379" s="12"/>
      <x:c r="F379" s="12"/>
      <x:c r="G379" s="12"/>
      <x:c r="H379" s="12"/>
      <x:c r="I379" s="12"/>
      <x:c r="J379" s="12"/>
      <x:c r="K379" s="12"/>
      <x:c r="L379" s="12"/>
      <x:c r="M379" s="12"/>
      <x:c r="N379" s="12"/>
      <x:c r="O379" s="12"/>
      <x:c r="P379" s="12"/>
      <x:c r="Q379" s="12"/>
      <x:c r="R379" s="12"/>
      <x:c r="S379" s="12"/>
      <x:c r="T379" s="12"/>
    </x:row>
    <x:row r="380">
      <x:c r="A380" s="12"/>
      <x:c r="B380" s="12"/>
      <x:c r="C380" s="12"/>
      <x:c r="D380" s="12"/>
      <x:c r="E380" s="12"/>
      <x:c r="F380" s="12"/>
      <x:c r="G380" s="12"/>
      <x:c r="H380" s="12"/>
      <x:c r="I380" s="12"/>
      <x:c r="J380" s="12"/>
      <x:c r="K380" s="12"/>
      <x:c r="L380" s="12"/>
      <x:c r="M380" s="12"/>
      <x:c r="N380" s="12"/>
      <x:c r="O380" s="12"/>
      <x:c r="P380" s="12"/>
      <x:c r="Q380" s="12"/>
      <x:c r="R380" s="12"/>
      <x:c r="S380" s="12"/>
      <x:c r="T380" s="12"/>
    </x:row>
    <x:row r="381">
      <x:c r="A381" s="12"/>
      <x:c r="B381" s="12"/>
      <x:c r="C381" s="12"/>
      <x:c r="D381" s="12"/>
      <x:c r="E381" s="12"/>
      <x:c r="F381" s="12"/>
      <x:c r="G381" s="12"/>
      <x:c r="H381" s="12"/>
      <x:c r="I381" s="12"/>
      <x:c r="J381" s="12"/>
      <x:c r="K381" s="12"/>
      <x:c r="L381" s="12"/>
      <x:c r="M381" s="12"/>
      <x:c r="N381" s="12"/>
      <x:c r="O381" s="12"/>
      <x:c r="P381" s="12"/>
      <x:c r="Q381" s="12"/>
      <x:c r="R381" s="12"/>
      <x:c r="S381" s="12"/>
      <x:c r="T381" s="12"/>
    </x:row>
    <x:row r="382">
      <x:c r="A382" s="12"/>
      <x:c r="B382" s="12"/>
      <x:c r="C382" s="12"/>
      <x:c r="D382" s="12"/>
      <x:c r="E382" s="12"/>
      <x:c r="F382" s="12"/>
      <x:c r="G382" s="12"/>
      <x:c r="H382" s="12"/>
      <x:c r="I382" s="12"/>
      <x:c r="J382" s="12"/>
      <x:c r="K382" s="12"/>
      <x:c r="L382" s="12"/>
      <x:c r="M382" s="12"/>
      <x:c r="N382" s="12"/>
      <x:c r="O382" s="12"/>
      <x:c r="P382" s="12"/>
      <x:c r="Q382" s="12"/>
      <x:c r="R382" s="12"/>
      <x:c r="S382" s="12"/>
      <x:c r="T382" s="12"/>
    </x:row>
    <x:row r="383">
      <x:c r="A383" s="12"/>
      <x:c r="B383" s="12"/>
      <x:c r="C383" s="12"/>
      <x:c r="D383" s="12"/>
      <x:c r="E383" s="12"/>
      <x:c r="F383" s="12"/>
      <x:c r="G383" s="12"/>
      <x:c r="H383" s="12"/>
      <x:c r="I383" s="12"/>
      <x:c r="J383" s="12"/>
      <x:c r="K383" s="12"/>
      <x:c r="L383" s="12"/>
      <x:c r="M383" s="12"/>
      <x:c r="N383" s="12"/>
      <x:c r="O383" s="12"/>
      <x:c r="P383" s="12"/>
      <x:c r="Q383" s="12"/>
      <x:c r="R383" s="12"/>
      <x:c r="S383" s="12"/>
      <x:c r="T383" s="12"/>
    </x:row>
    <x:row r="384">
      <x:c r="A384" s="12"/>
      <x:c r="B384" s="12"/>
      <x:c r="C384" s="12"/>
      <x:c r="D384" s="12"/>
      <x:c r="E384" s="12"/>
      <x:c r="F384" s="12"/>
      <x:c r="G384" s="12"/>
      <x:c r="H384" s="12"/>
      <x:c r="I384" s="12"/>
      <x:c r="J384" s="12"/>
      <x:c r="K384" s="12"/>
      <x:c r="L384" s="12"/>
      <x:c r="M384" s="12"/>
      <x:c r="N384" s="12"/>
      <x:c r="O384" s="12"/>
      <x:c r="P384" s="12"/>
      <x:c r="Q384" s="12"/>
      <x:c r="R384" s="12"/>
      <x:c r="S384" s="12"/>
      <x:c r="T384" s="12"/>
    </x:row>
    <x:row r="385">
      <x:c r="A385" s="12"/>
      <x:c r="B385" s="12"/>
      <x:c r="C385" s="12"/>
      <x:c r="D385" s="12"/>
      <x:c r="E385" s="12"/>
      <x:c r="F385" s="12"/>
      <x:c r="G385" s="12"/>
      <x:c r="H385" s="12"/>
      <x:c r="I385" s="12"/>
      <x:c r="J385" s="12"/>
      <x:c r="K385" s="12"/>
      <x:c r="L385" s="12"/>
      <x:c r="M385" s="12"/>
      <x:c r="N385" s="12"/>
      <x:c r="O385" s="12"/>
      <x:c r="P385" s="12"/>
      <x:c r="Q385" s="12"/>
      <x:c r="R385" s="12"/>
      <x:c r="S385" s="12"/>
      <x:c r="T385" s="12"/>
    </x:row>
    <x:row r="386">
      <x:c r="A386" s="12"/>
      <x:c r="B386" s="12"/>
      <x:c r="C386" s="12"/>
      <x:c r="D386" s="12"/>
      <x:c r="E386" s="12"/>
      <x:c r="F386" s="12"/>
      <x:c r="G386" s="12"/>
      <x:c r="H386" s="12"/>
      <x:c r="I386" s="12"/>
      <x:c r="J386" s="12"/>
      <x:c r="K386" s="12"/>
      <x:c r="L386" s="12"/>
      <x:c r="M386" s="12"/>
      <x:c r="N386" s="12"/>
      <x:c r="O386" s="12"/>
      <x:c r="P386" s="12"/>
      <x:c r="Q386" s="12"/>
      <x:c r="R386" s="12"/>
      <x:c r="S386" s="12"/>
      <x:c r="T386" s="12"/>
    </x:row>
    <x:row r="387">
      <x:c r="A387" s="12"/>
      <x:c r="B387" s="12"/>
      <x:c r="C387" s="12"/>
      <x:c r="D387" s="12"/>
      <x:c r="E387" s="12"/>
      <x:c r="F387" s="12"/>
      <x:c r="G387" s="12"/>
      <x:c r="H387" s="12"/>
      <x:c r="I387" s="12"/>
      <x:c r="J387" s="12"/>
      <x:c r="K387" s="12"/>
      <x:c r="L387" s="12"/>
      <x:c r="M387" s="12"/>
      <x:c r="N387" s="12"/>
      <x:c r="O387" s="12"/>
      <x:c r="P387" s="12"/>
      <x:c r="Q387" s="12"/>
      <x:c r="R387" s="12"/>
      <x:c r="S387" s="12"/>
      <x:c r="T387" s="12"/>
    </x:row>
    <x:row r="388">
      <x:c r="A388" s="12"/>
      <x:c r="B388" s="12"/>
      <x:c r="C388" s="12"/>
      <x:c r="D388" s="12"/>
      <x:c r="E388" s="12"/>
      <x:c r="F388" s="12"/>
      <x:c r="G388" s="12"/>
      <x:c r="H388" s="12"/>
      <x:c r="I388" s="12"/>
      <x:c r="J388" s="12"/>
      <x:c r="K388" s="12"/>
      <x:c r="L388" s="12"/>
      <x:c r="M388" s="12"/>
      <x:c r="N388" s="12"/>
      <x:c r="O388" s="12"/>
      <x:c r="P388" s="12"/>
      <x:c r="Q388" s="12"/>
      <x:c r="R388" s="12"/>
      <x:c r="S388" s="12"/>
      <x:c r="T388" s="12"/>
    </x:row>
    <x:row r="389">
      <x:c r="A389" s="12"/>
      <x:c r="B389" s="12"/>
      <x:c r="C389" s="12"/>
      <x:c r="D389" s="12"/>
      <x:c r="E389" s="12"/>
      <x:c r="F389" s="12"/>
      <x:c r="G389" s="12"/>
      <x:c r="H389" s="12"/>
      <x:c r="I389" s="12"/>
      <x:c r="J389" s="12"/>
      <x:c r="K389" s="12"/>
      <x:c r="L389" s="12"/>
      <x:c r="M389" s="12"/>
      <x:c r="N389" s="12"/>
      <x:c r="O389" s="12"/>
      <x:c r="P389" s="12"/>
      <x:c r="Q389" s="12"/>
      <x:c r="R389" s="12"/>
      <x:c r="S389" s="12"/>
      <x:c r="T389" s="12"/>
    </x:row>
    <x:row r="390">
      <x:c r="A390" s="12"/>
      <x:c r="B390" s="12"/>
      <x:c r="C390" s="12"/>
      <x:c r="D390" s="12"/>
      <x:c r="E390" s="12"/>
      <x:c r="F390" s="12"/>
      <x:c r="G390" s="12"/>
      <x:c r="H390" s="12"/>
      <x:c r="I390" s="12"/>
      <x:c r="J390" s="12"/>
      <x:c r="K390" s="12"/>
      <x:c r="L390" s="12"/>
      <x:c r="M390" s="12"/>
      <x:c r="N390" s="12"/>
      <x:c r="O390" s="12"/>
      <x:c r="P390" s="12"/>
      <x:c r="Q390" s="12"/>
      <x:c r="R390" s="12"/>
      <x:c r="S390" s="12"/>
      <x:c r="T390" s="12"/>
    </x:row>
    <x:row r="391">
      <x:c r="A391" s="12"/>
      <x:c r="B391" s="12"/>
      <x:c r="C391" s="12"/>
      <x:c r="D391" s="12"/>
      <x:c r="E391" s="12"/>
      <x:c r="F391" s="12"/>
      <x:c r="G391" s="12"/>
      <x:c r="H391" s="12"/>
      <x:c r="I391" s="12"/>
      <x:c r="J391" s="12"/>
      <x:c r="K391" s="12"/>
      <x:c r="L391" s="12"/>
      <x:c r="M391" s="12"/>
      <x:c r="N391" s="12"/>
      <x:c r="O391" s="12"/>
      <x:c r="P391" s="12"/>
      <x:c r="Q391" s="12"/>
      <x:c r="R391" s="12"/>
      <x:c r="S391" s="12"/>
      <x:c r="T391" s="12"/>
    </x:row>
    <x:row r="392">
      <x:c r="A392" s="12"/>
      <x:c r="B392" s="12"/>
      <x:c r="C392" s="12"/>
      <x:c r="D392" s="12"/>
      <x:c r="E392" s="12"/>
      <x:c r="F392" s="12"/>
      <x:c r="G392" s="12"/>
      <x:c r="H392" s="12"/>
      <x:c r="I392" s="12"/>
      <x:c r="J392" s="12"/>
      <x:c r="K392" s="12"/>
      <x:c r="L392" s="12"/>
      <x:c r="M392" s="12"/>
      <x:c r="N392" s="12"/>
      <x:c r="O392" s="12"/>
      <x:c r="P392" s="12"/>
      <x:c r="Q392" s="12"/>
      <x:c r="R392" s="12"/>
      <x:c r="S392" s="12"/>
      <x:c r="T392" s="12"/>
    </x:row>
    <x:row r="393">
      <x:c r="A393" s="12"/>
      <x:c r="B393" s="12"/>
      <x:c r="C393" s="12"/>
      <x:c r="D393" s="12"/>
      <x:c r="E393" s="12"/>
      <x:c r="F393" s="12"/>
      <x:c r="G393" s="12"/>
      <x:c r="H393" s="12"/>
      <x:c r="I393" s="12"/>
      <x:c r="J393" s="12"/>
      <x:c r="K393" s="12"/>
      <x:c r="L393" s="12"/>
      <x:c r="M393" s="12"/>
      <x:c r="N393" s="12"/>
      <x:c r="O393" s="12"/>
      <x:c r="P393" s="12"/>
      <x:c r="Q393" s="12"/>
      <x:c r="R393" s="12"/>
      <x:c r="S393" s="12"/>
      <x:c r="T393" s="12"/>
    </x:row>
    <x:row r="394">
      <x:c r="A394" s="12"/>
      <x:c r="B394" s="12"/>
      <x:c r="C394" s="12"/>
      <x:c r="D394" s="12"/>
      <x:c r="E394" s="12"/>
      <x:c r="F394" s="12"/>
      <x:c r="G394" s="12"/>
      <x:c r="H394" s="12"/>
      <x:c r="I394" s="12"/>
      <x:c r="J394" s="12"/>
      <x:c r="K394" s="12"/>
      <x:c r="L394" s="12"/>
      <x:c r="M394" s="12"/>
      <x:c r="N394" s="12"/>
      <x:c r="O394" s="12"/>
      <x:c r="P394" s="12"/>
      <x:c r="Q394" s="12"/>
      <x:c r="R394" s="12"/>
      <x:c r="S394" s="12"/>
      <x:c r="T394" s="12"/>
    </x:row>
    <x:row r="395">
      <x:c r="A395" s="12"/>
      <x:c r="B395" s="12"/>
      <x:c r="C395" s="12"/>
      <x:c r="D395" s="12"/>
      <x:c r="E395" s="12"/>
      <x:c r="F395" s="12"/>
      <x:c r="G395" s="12"/>
      <x:c r="H395" s="12"/>
      <x:c r="I395" s="12"/>
      <x:c r="J395" s="12"/>
      <x:c r="K395" s="12"/>
      <x:c r="L395" s="12"/>
      <x:c r="M395" s="12"/>
      <x:c r="N395" s="12"/>
      <x:c r="O395" s="12"/>
      <x:c r="P395" s="12"/>
      <x:c r="Q395" s="12"/>
      <x:c r="R395" s="12"/>
      <x:c r="S395" s="12"/>
      <x:c r="T395" s="12"/>
    </x:row>
    <x:row r="396">
      <x:c r="A396" s="12"/>
      <x:c r="B396" s="12"/>
      <x:c r="C396" s="12"/>
      <x:c r="D396" s="12"/>
      <x:c r="E396" s="12"/>
      <x:c r="F396" s="12"/>
      <x:c r="G396" s="12"/>
      <x:c r="H396" s="12"/>
      <x:c r="I396" s="12"/>
      <x:c r="J396" s="12"/>
      <x:c r="K396" s="12"/>
      <x:c r="L396" s="12"/>
      <x:c r="M396" s="12"/>
      <x:c r="N396" s="12"/>
      <x:c r="O396" s="12"/>
      <x:c r="P396" s="12"/>
      <x:c r="Q396" s="12"/>
      <x:c r="R396" s="12"/>
      <x:c r="S396" s="12"/>
      <x:c r="T396" s="12"/>
    </x:row>
    <x:row r="397">
      <x:c r="A397" s="12"/>
      <x:c r="B397" s="12"/>
      <x:c r="C397" s="12"/>
      <x:c r="D397" s="12"/>
      <x:c r="E397" s="12"/>
      <x:c r="F397" s="12"/>
      <x:c r="G397" s="12"/>
      <x:c r="H397" s="12"/>
      <x:c r="I397" s="12"/>
      <x:c r="J397" s="12"/>
      <x:c r="K397" s="12"/>
      <x:c r="L397" s="12"/>
      <x:c r="M397" s="12"/>
      <x:c r="N397" s="12"/>
      <x:c r="O397" s="12"/>
      <x:c r="P397" s="12"/>
      <x:c r="Q397" s="12"/>
      <x:c r="R397" s="12"/>
      <x:c r="S397" s="12"/>
      <x:c r="T397" s="12"/>
    </x:row>
    <x:row r="398">
      <x:c r="A398" s="12"/>
      <x:c r="B398" s="12"/>
      <x:c r="C398" s="12"/>
      <x:c r="D398" s="12"/>
      <x:c r="E398" s="12"/>
      <x:c r="F398" s="12"/>
      <x:c r="G398" s="12"/>
      <x:c r="H398" s="12"/>
      <x:c r="I398" s="12"/>
      <x:c r="J398" s="12"/>
      <x:c r="K398" s="12"/>
      <x:c r="L398" s="12"/>
      <x:c r="M398" s="12"/>
      <x:c r="N398" s="12"/>
      <x:c r="O398" s="12"/>
      <x:c r="P398" s="12"/>
      <x:c r="Q398" s="12"/>
      <x:c r="R398" s="12"/>
      <x:c r="S398" s="12"/>
      <x:c r="T398" s="12"/>
    </x:row>
    <x:row r="399">
      <x:c r="A399" s="12"/>
      <x:c r="B399" s="12"/>
      <x:c r="C399" s="12"/>
      <x:c r="D399" s="12"/>
      <x:c r="E399" s="12"/>
      <x:c r="F399" s="12"/>
      <x:c r="G399" s="12"/>
      <x:c r="H399" s="12"/>
      <x:c r="I399" s="12"/>
      <x:c r="J399" s="12"/>
      <x:c r="K399" s="12"/>
      <x:c r="L399" s="12"/>
      <x:c r="M399" s="12"/>
      <x:c r="N399" s="12"/>
      <x:c r="O399" s="12"/>
      <x:c r="P399" s="12"/>
      <x:c r="Q399" s="12"/>
      <x:c r="R399" s="12"/>
      <x:c r="S399" s="12"/>
      <x:c r="T399" s="12"/>
    </x:row>
    <x:row r="400">
      <x:c r="A400" s="12"/>
      <x:c r="B400" s="12"/>
      <x:c r="C400" s="12"/>
      <x:c r="D400" s="12"/>
      <x:c r="E400" s="12"/>
      <x:c r="F400" s="12"/>
      <x:c r="G400" s="12"/>
      <x:c r="H400" s="12"/>
      <x:c r="I400" s="12"/>
      <x:c r="J400" s="12"/>
      <x:c r="K400" s="12"/>
      <x:c r="L400" s="12"/>
      <x:c r="M400" s="12"/>
      <x:c r="N400" s="12"/>
      <x:c r="O400" s="12"/>
      <x:c r="P400" s="12"/>
      <x:c r="Q400" s="12"/>
      <x:c r="R400" s="12"/>
      <x:c r="S400" s="12"/>
      <x:c r="T400" s="12"/>
    </x:row>
    <x:row r="401">
      <x:c r="A401" s="12"/>
      <x:c r="B401" s="12"/>
      <x:c r="C401" s="12"/>
      <x:c r="D401" s="12"/>
      <x:c r="E401" s="12"/>
      <x:c r="F401" s="12"/>
      <x:c r="G401" s="12"/>
      <x:c r="H401" s="12"/>
      <x:c r="I401" s="12"/>
      <x:c r="J401" s="12"/>
      <x:c r="K401" s="12"/>
      <x:c r="L401" s="12"/>
      <x:c r="M401" s="12"/>
      <x:c r="N401" s="12"/>
      <x:c r="O401" s="12"/>
      <x:c r="P401" s="12"/>
      <x:c r="Q401" s="12"/>
      <x:c r="R401" s="12"/>
      <x:c r="S401" s="12"/>
      <x:c r="T401" s="12"/>
    </x:row>
    <x:row r="402">
      <x:c r="A402" s="12"/>
      <x:c r="B402" s="12"/>
      <x:c r="C402" s="12"/>
      <x:c r="D402" s="12"/>
      <x:c r="E402" s="12"/>
      <x:c r="F402" s="12"/>
      <x:c r="G402" s="12"/>
      <x:c r="H402" s="12"/>
      <x:c r="I402" s="12"/>
      <x:c r="J402" s="12"/>
      <x:c r="K402" s="12"/>
      <x:c r="L402" s="12"/>
      <x:c r="M402" s="12"/>
      <x:c r="N402" s="12"/>
      <x:c r="O402" s="12"/>
      <x:c r="P402" s="12"/>
      <x:c r="Q402" s="12"/>
      <x:c r="R402" s="12"/>
      <x:c r="S402" s="12"/>
      <x:c r="T402" s="12"/>
    </x:row>
    <x:row r="403">
      <x:c r="A403" s="12"/>
      <x:c r="B403" s="12"/>
      <x:c r="C403" s="12"/>
      <x:c r="D403" s="12"/>
      <x:c r="E403" s="12"/>
      <x:c r="F403" s="12"/>
      <x:c r="G403" s="12"/>
      <x:c r="H403" s="12"/>
      <x:c r="I403" s="12"/>
      <x:c r="J403" s="12"/>
      <x:c r="K403" s="12"/>
      <x:c r="L403" s="12"/>
      <x:c r="M403" s="12"/>
      <x:c r="N403" s="12"/>
      <x:c r="O403" s="12"/>
      <x:c r="P403" s="12"/>
      <x:c r="Q403" s="12"/>
      <x:c r="R403" s="12"/>
      <x:c r="S403" s="12"/>
      <x:c r="T403" s="12"/>
    </x:row>
    <x:row r="404">
      <x:c r="A404" s="12"/>
      <x:c r="B404" s="12"/>
      <x:c r="C404" s="12"/>
      <x:c r="D404" s="12"/>
      <x:c r="E404" s="12"/>
      <x:c r="F404" s="12"/>
      <x:c r="G404" s="12"/>
      <x:c r="H404" s="12"/>
      <x:c r="I404" s="12"/>
      <x:c r="J404" s="12"/>
      <x:c r="K404" s="12"/>
      <x:c r="L404" s="12"/>
      <x:c r="M404" s="12"/>
      <x:c r="N404" s="12"/>
      <x:c r="O404" s="12"/>
      <x:c r="P404" s="12"/>
      <x:c r="Q404" s="12"/>
      <x:c r="R404" s="12"/>
      <x:c r="S404" s="12"/>
      <x:c r="T404" s="12"/>
    </x:row>
    <x:row r="405">
      <x:c r="A405" s="12"/>
      <x:c r="B405" s="12"/>
      <x:c r="C405" s="12"/>
      <x:c r="D405" s="12"/>
      <x:c r="E405" s="12"/>
      <x:c r="F405" s="12"/>
      <x:c r="G405" s="12"/>
      <x:c r="H405" s="12"/>
      <x:c r="I405" s="12"/>
      <x:c r="J405" s="12"/>
      <x:c r="K405" s="12"/>
      <x:c r="L405" s="12"/>
      <x:c r="M405" s="12"/>
      <x:c r="N405" s="12"/>
      <x:c r="O405" s="12"/>
      <x:c r="P405" s="12"/>
      <x:c r="Q405" s="12"/>
      <x:c r="R405" s="12"/>
      <x:c r="S405" s="12"/>
      <x:c r="T405" s="12"/>
    </x:row>
    <x:row r="406">
      <x:c r="A406" s="12"/>
      <x:c r="B406" s="12"/>
      <x:c r="C406" s="12"/>
      <x:c r="D406" s="12"/>
      <x:c r="E406" s="12"/>
      <x:c r="F406" s="12"/>
      <x:c r="G406" s="12"/>
      <x:c r="H406" s="12"/>
      <x:c r="I406" s="12"/>
      <x:c r="J406" s="12"/>
      <x:c r="K406" s="12"/>
      <x:c r="L406" s="12"/>
      <x:c r="M406" s="12"/>
      <x:c r="N406" s="12"/>
      <x:c r="O406" s="12"/>
      <x:c r="P406" s="12"/>
      <x:c r="Q406" s="12"/>
      <x:c r="R406" s="12"/>
      <x:c r="S406" s="12"/>
      <x:c r="T406" s="12"/>
    </x:row>
    <x:row r="407">
      <x:c r="A407" s="12"/>
      <x:c r="B407" s="12"/>
      <x:c r="C407" s="12"/>
      <x:c r="D407" s="12"/>
      <x:c r="E407" s="12"/>
      <x:c r="F407" s="12"/>
      <x:c r="G407" s="12"/>
      <x:c r="H407" s="12"/>
      <x:c r="I407" s="12"/>
      <x:c r="J407" s="12"/>
      <x:c r="K407" s="12"/>
      <x:c r="L407" s="12"/>
      <x:c r="M407" s="12"/>
      <x:c r="N407" s="12"/>
      <x:c r="O407" s="12"/>
      <x:c r="P407" s="12"/>
      <x:c r="Q407" s="12"/>
      <x:c r="R407" s="12"/>
      <x:c r="S407" s="12"/>
      <x:c r="T407" s="12"/>
    </x:row>
    <x:row r="408">
      <x:c r="A408" s="12"/>
      <x:c r="B408" s="12"/>
      <x:c r="C408" s="12"/>
      <x:c r="D408" s="12"/>
      <x:c r="E408" s="12"/>
      <x:c r="F408" s="12"/>
      <x:c r="G408" s="12"/>
      <x:c r="H408" s="12"/>
      <x:c r="I408" s="12"/>
      <x:c r="J408" s="12"/>
      <x:c r="K408" s="12"/>
      <x:c r="L408" s="12"/>
      <x:c r="M408" s="12"/>
      <x:c r="N408" s="12"/>
      <x:c r="O408" s="12"/>
      <x:c r="P408" s="12"/>
      <x:c r="Q408" s="12"/>
      <x:c r="R408" s="12"/>
      <x:c r="S408" s="12"/>
      <x:c r="T408" s="12"/>
    </x:row>
    <x:row r="409">
      <x:c r="A409" s="12"/>
      <x:c r="B409" s="12"/>
      <x:c r="C409" s="12"/>
      <x:c r="D409" s="12"/>
      <x:c r="E409" s="12"/>
      <x:c r="F409" s="12"/>
      <x:c r="G409" s="12"/>
      <x:c r="H409" s="12"/>
      <x:c r="I409" s="12"/>
      <x:c r="J409" s="12"/>
      <x:c r="K409" s="12"/>
      <x:c r="L409" s="12"/>
      <x:c r="M409" s="12"/>
      <x:c r="N409" s="12"/>
      <x:c r="O409" s="12"/>
      <x:c r="P409" s="12"/>
      <x:c r="Q409" s="12"/>
      <x:c r="R409" s="12"/>
      <x:c r="S409" s="12"/>
      <x:c r="T409" s="12"/>
    </x:row>
    <x:row r="410">
      <x:c r="A410" s="12"/>
      <x:c r="B410" s="12"/>
      <x:c r="C410" s="12"/>
      <x:c r="D410" s="12"/>
      <x:c r="E410" s="12"/>
      <x:c r="F410" s="12"/>
      <x:c r="G410" s="12"/>
      <x:c r="H410" s="12"/>
      <x:c r="I410" s="12"/>
      <x:c r="J410" s="12"/>
      <x:c r="K410" s="12"/>
      <x:c r="L410" s="12"/>
      <x:c r="M410" s="12"/>
      <x:c r="N410" s="12"/>
      <x:c r="O410" s="12"/>
      <x:c r="P410" s="12"/>
      <x:c r="Q410" s="12"/>
      <x:c r="R410" s="12"/>
      <x:c r="S410" s="12"/>
      <x:c r="T410" s="12"/>
    </x:row>
    <x:row r="411">
      <x:c r="A411" s="12"/>
      <x:c r="B411" s="12"/>
      <x:c r="C411" s="12"/>
      <x:c r="D411" s="12"/>
      <x:c r="E411" s="12"/>
      <x:c r="F411" s="12"/>
      <x:c r="G411" s="12"/>
      <x:c r="H411" s="12"/>
      <x:c r="I411" s="12"/>
      <x:c r="J411" s="12"/>
      <x:c r="K411" s="12"/>
      <x:c r="L411" s="12"/>
      <x:c r="M411" s="12"/>
      <x:c r="N411" s="12"/>
      <x:c r="O411" s="12"/>
      <x:c r="P411" s="12"/>
      <x:c r="Q411" s="12"/>
      <x:c r="R411" s="12"/>
      <x:c r="S411" s="12"/>
      <x:c r="T411" s="12"/>
    </x:row>
    <x:row r="412">
      <x:c r="A412" s="12"/>
      <x:c r="B412" s="12"/>
      <x:c r="C412" s="12"/>
      <x:c r="D412" s="12"/>
      <x:c r="E412" s="12"/>
      <x:c r="F412" s="12"/>
      <x:c r="G412" s="12"/>
      <x:c r="H412" s="12"/>
      <x:c r="I412" s="12"/>
      <x:c r="J412" s="12"/>
      <x:c r="K412" s="12"/>
      <x:c r="L412" s="12"/>
      <x:c r="M412" s="12"/>
      <x:c r="N412" s="12"/>
      <x:c r="O412" s="12"/>
      <x:c r="P412" s="12"/>
      <x:c r="Q412" s="12"/>
      <x:c r="R412" s="12"/>
      <x:c r="S412" s="12"/>
      <x:c r="T412" s="12"/>
    </x:row>
    <x:row r="413">
      <x:c r="A413" s="12"/>
      <x:c r="B413" s="12"/>
      <x:c r="C413" s="12"/>
      <x:c r="D413" s="12"/>
      <x:c r="E413" s="12"/>
      <x:c r="F413" s="12"/>
      <x:c r="G413" s="12"/>
      <x:c r="H413" s="12"/>
      <x:c r="I413" s="12"/>
      <x:c r="J413" s="12"/>
      <x:c r="K413" s="12"/>
      <x:c r="L413" s="12"/>
      <x:c r="M413" s="12"/>
      <x:c r="N413" s="12"/>
      <x:c r="O413" s="12"/>
      <x:c r="P413" s="12"/>
      <x:c r="Q413" s="12"/>
      <x:c r="R413" s="12"/>
      <x:c r="S413" s="12"/>
      <x:c r="T413" s="12"/>
    </x:row>
    <x:row r="414">
      <x:c r="A414" s="12"/>
      <x:c r="B414" s="12"/>
      <x:c r="C414" s="12"/>
      <x:c r="D414" s="12"/>
      <x:c r="E414" s="12"/>
      <x:c r="F414" s="12"/>
      <x:c r="G414" s="12"/>
      <x:c r="H414" s="12"/>
      <x:c r="I414" s="12"/>
      <x:c r="J414" s="12"/>
      <x:c r="K414" s="12"/>
      <x:c r="L414" s="12"/>
      <x:c r="M414" s="12"/>
      <x:c r="N414" s="12"/>
      <x:c r="O414" s="12"/>
      <x:c r="P414" s="12"/>
      <x:c r="Q414" s="12"/>
      <x:c r="R414" s="12"/>
      <x:c r="S414" s="12"/>
      <x:c r="T414" s="12"/>
    </x:row>
    <x:row r="415">
      <x:c r="A415" s="12"/>
      <x:c r="B415" s="12"/>
      <x:c r="C415" s="12"/>
      <x:c r="D415" s="12"/>
      <x:c r="E415" s="12"/>
      <x:c r="F415" s="12"/>
      <x:c r="G415" s="12"/>
      <x:c r="H415" s="12"/>
      <x:c r="I415" s="12"/>
      <x:c r="J415" s="12"/>
      <x:c r="K415" s="12"/>
      <x:c r="L415" s="12"/>
      <x:c r="M415" s="12"/>
      <x:c r="N415" s="12"/>
      <x:c r="O415" s="12"/>
      <x:c r="P415" s="12"/>
      <x:c r="Q415" s="12"/>
      <x:c r="R415" s="12"/>
      <x:c r="S415" s="12"/>
      <x:c r="T415" s="12"/>
    </x:row>
    <x:row r="416">
      <x:c r="A416" s="12"/>
      <x:c r="B416" s="12"/>
      <x:c r="C416" s="12"/>
      <x:c r="D416" s="12"/>
      <x:c r="E416" s="12"/>
      <x:c r="F416" s="12"/>
      <x:c r="G416" s="12"/>
      <x:c r="H416" s="12"/>
      <x:c r="I416" s="12"/>
      <x:c r="J416" s="12"/>
      <x:c r="K416" s="12"/>
      <x:c r="L416" s="12"/>
      <x:c r="M416" s="12"/>
      <x:c r="N416" s="12"/>
      <x:c r="O416" s="12"/>
      <x:c r="P416" s="12"/>
      <x:c r="Q416" s="12"/>
      <x:c r="R416" s="12"/>
      <x:c r="S416" s="12"/>
      <x:c r="T416" s="12"/>
    </x:row>
    <x:row r="417">
      <x:c r="A417" s="12"/>
      <x:c r="B417" s="12"/>
      <x:c r="C417" s="12"/>
      <x:c r="D417" s="12"/>
      <x:c r="E417" s="12"/>
      <x:c r="F417" s="12"/>
      <x:c r="G417" s="12"/>
      <x:c r="H417" s="12"/>
      <x:c r="I417" s="12"/>
      <x:c r="J417" s="12"/>
      <x:c r="K417" s="12"/>
      <x:c r="L417" s="12"/>
      <x:c r="M417" s="12"/>
      <x:c r="N417" s="12"/>
      <x:c r="O417" s="12"/>
      <x:c r="P417" s="12"/>
      <x:c r="Q417" s="12"/>
      <x:c r="R417" s="12"/>
      <x:c r="S417" s="12"/>
      <x:c r="T417" s="12"/>
    </x:row>
    <x:row r="418">
      <x:c r="A418" s="12"/>
      <x:c r="B418" s="12"/>
      <x:c r="C418" s="12"/>
      <x:c r="D418" s="12"/>
      <x:c r="E418" s="12"/>
      <x:c r="F418" s="12"/>
      <x:c r="G418" s="12"/>
      <x:c r="H418" s="12"/>
      <x:c r="I418" s="12"/>
      <x:c r="J418" s="12"/>
      <x:c r="K418" s="12"/>
      <x:c r="L418" s="12"/>
      <x:c r="M418" s="12"/>
      <x:c r="N418" s="12"/>
      <x:c r="O418" s="12"/>
      <x:c r="P418" s="12"/>
      <x:c r="Q418" s="12"/>
      <x:c r="R418" s="12"/>
      <x:c r="S418" s="12"/>
      <x:c r="T418" s="12"/>
    </x:row>
    <x:row r="419">
      <x:c r="A419" s="12"/>
      <x:c r="B419" s="12"/>
      <x:c r="C419" s="12"/>
      <x:c r="D419" s="12"/>
      <x:c r="E419" s="12"/>
      <x:c r="F419" s="12"/>
      <x:c r="G419" s="12"/>
      <x:c r="H419" s="12"/>
      <x:c r="I419" s="12"/>
      <x:c r="J419" s="12"/>
      <x:c r="K419" s="12"/>
      <x:c r="L419" s="12"/>
      <x:c r="M419" s="12"/>
      <x:c r="N419" s="12"/>
      <x:c r="O419" s="12"/>
      <x:c r="P419" s="12"/>
      <x:c r="Q419" s="12"/>
      <x:c r="R419" s="12"/>
      <x:c r="S419" s="12"/>
      <x:c r="T419" s="12"/>
    </x:row>
    <x:row r="420">
      <x:c r="A420" s="12"/>
      <x:c r="B420" s="12"/>
      <x:c r="C420" s="12"/>
      <x:c r="D420" s="12"/>
      <x:c r="E420" s="12"/>
      <x:c r="F420" s="12"/>
      <x:c r="G420" s="12"/>
      <x:c r="H420" s="12"/>
      <x:c r="I420" s="12"/>
      <x:c r="J420" s="12"/>
      <x:c r="K420" s="12"/>
      <x:c r="L420" s="12"/>
      <x:c r="M420" s="12"/>
      <x:c r="N420" s="12"/>
      <x:c r="O420" s="12"/>
      <x:c r="P420" s="12"/>
      <x:c r="Q420" s="12"/>
      <x:c r="R420" s="12"/>
      <x:c r="S420" s="12"/>
      <x:c r="T420" s="12"/>
    </x:row>
    <x:row r="421">
      <x:c r="A421" s="12"/>
      <x:c r="B421" s="12"/>
      <x:c r="C421" s="12"/>
      <x:c r="D421" s="12"/>
      <x:c r="E421" s="12"/>
      <x:c r="F421" s="12"/>
      <x:c r="G421" s="12"/>
      <x:c r="H421" s="12"/>
      <x:c r="I421" s="12"/>
      <x:c r="J421" s="12"/>
      <x:c r="K421" s="12"/>
      <x:c r="L421" s="12"/>
      <x:c r="M421" s="12"/>
      <x:c r="N421" s="12"/>
      <x:c r="O421" s="12"/>
      <x:c r="P421" s="12"/>
      <x:c r="Q421" s="12"/>
      <x:c r="R421" s="12"/>
      <x:c r="S421" s="12"/>
      <x:c r="T421" s="12"/>
    </x:row>
    <x:row r="422">
      <x:c r="A422" s="12"/>
      <x:c r="B422" s="12"/>
      <x:c r="C422" s="12"/>
      <x:c r="D422" s="12"/>
      <x:c r="E422" s="12"/>
      <x:c r="F422" s="12"/>
      <x:c r="G422" s="12"/>
      <x:c r="H422" s="12"/>
      <x:c r="I422" s="12"/>
      <x:c r="J422" s="12"/>
      <x:c r="K422" s="12"/>
      <x:c r="L422" s="12"/>
      <x:c r="M422" s="12"/>
      <x:c r="N422" s="12"/>
      <x:c r="O422" s="12"/>
      <x:c r="P422" s="12"/>
      <x:c r="Q422" s="12"/>
      <x:c r="R422" s="12"/>
      <x:c r="S422" s="12"/>
      <x:c r="T422" s="12"/>
    </x:row>
    <x:row r="423">
      <x:c r="A423" s="12"/>
      <x:c r="B423" s="12"/>
      <x:c r="C423" s="12"/>
      <x:c r="D423" s="12"/>
      <x:c r="E423" s="12"/>
      <x:c r="F423" s="12"/>
      <x:c r="G423" s="12"/>
      <x:c r="H423" s="12"/>
      <x:c r="I423" s="12"/>
      <x:c r="J423" s="12"/>
      <x:c r="K423" s="12"/>
      <x:c r="L423" s="12"/>
      <x:c r="M423" s="12"/>
      <x:c r="N423" s="12"/>
      <x:c r="O423" s="12"/>
      <x:c r="P423" s="12"/>
      <x:c r="Q423" s="12"/>
      <x:c r="R423" s="12"/>
      <x:c r="S423" s="12"/>
      <x:c r="T423" s="12"/>
    </x:row>
    <x:row r="424">
      <x:c r="A424" s="12"/>
      <x:c r="B424" s="12"/>
      <x:c r="C424" s="12"/>
      <x:c r="D424" s="12"/>
      <x:c r="E424" s="12"/>
      <x:c r="F424" s="12"/>
      <x:c r="G424" s="12"/>
      <x:c r="H424" s="12"/>
      <x:c r="I424" s="12"/>
      <x:c r="J424" s="12"/>
      <x:c r="K424" s="12"/>
      <x:c r="L424" s="12"/>
      <x:c r="M424" s="12"/>
      <x:c r="N424" s="12"/>
      <x:c r="O424" s="12"/>
      <x:c r="P424" s="12"/>
      <x:c r="Q424" s="12"/>
      <x:c r="R424" s="12"/>
      <x:c r="S424" s="12"/>
      <x:c r="T424" s="12"/>
    </x:row>
    <x:row r="425">
      <x:c r="A425" s="12"/>
      <x:c r="B425" s="12"/>
      <x:c r="C425" s="12"/>
      <x:c r="D425" s="12"/>
      <x:c r="E425" s="12"/>
      <x:c r="F425" s="12"/>
      <x:c r="G425" s="12"/>
      <x:c r="H425" s="12"/>
      <x:c r="I425" s="12"/>
      <x:c r="J425" s="12"/>
      <x:c r="K425" s="12"/>
      <x:c r="L425" s="12"/>
      <x:c r="M425" s="12"/>
      <x:c r="N425" s="12"/>
      <x:c r="O425" s="12"/>
      <x:c r="P425" s="12"/>
      <x:c r="Q425" s="12"/>
      <x:c r="R425" s="12"/>
      <x:c r="S425" s="12"/>
      <x:c r="T425" s="12"/>
    </x:row>
    <x:row r="426">
      <x:c r="A426" s="12"/>
      <x:c r="B426" s="12"/>
      <x:c r="C426" s="12"/>
      <x:c r="D426" s="12"/>
      <x:c r="E426" s="12"/>
      <x:c r="F426" s="12"/>
      <x:c r="G426" s="12"/>
      <x:c r="H426" s="12"/>
      <x:c r="I426" s="12"/>
      <x:c r="J426" s="12"/>
      <x:c r="K426" s="12"/>
      <x:c r="L426" s="12"/>
      <x:c r="M426" s="12"/>
      <x:c r="N426" s="12"/>
      <x:c r="O426" s="12"/>
      <x:c r="P426" s="12"/>
      <x:c r="Q426" s="12"/>
      <x:c r="R426" s="12"/>
      <x:c r="S426" s="12"/>
      <x:c r="T426" s="12"/>
    </x:row>
    <x:row r="427">
      <x:c r="A427" s="12"/>
      <x:c r="B427" s="12"/>
      <x:c r="C427" s="12"/>
      <x:c r="D427" s="12"/>
      <x:c r="E427" s="12"/>
      <x:c r="F427" s="12"/>
      <x:c r="G427" s="12"/>
      <x:c r="H427" s="12"/>
      <x:c r="I427" s="12"/>
      <x:c r="J427" s="12"/>
      <x:c r="K427" s="12"/>
      <x:c r="L427" s="12"/>
      <x:c r="M427" s="12"/>
      <x:c r="N427" s="12"/>
      <x:c r="O427" s="12"/>
      <x:c r="P427" s="12"/>
      <x:c r="Q427" s="12"/>
      <x:c r="R427" s="12"/>
      <x:c r="S427" s="12"/>
      <x:c r="T427" s="12"/>
    </x:row>
    <x:row r="428">
      <x:c r="A428" s="12"/>
      <x:c r="B428" s="12"/>
      <x:c r="C428" s="12"/>
      <x:c r="D428" s="12"/>
      <x:c r="E428" s="12"/>
      <x:c r="F428" s="12"/>
      <x:c r="G428" s="12"/>
      <x:c r="H428" s="12"/>
      <x:c r="I428" s="12"/>
      <x:c r="J428" s="12"/>
      <x:c r="K428" s="12"/>
      <x:c r="L428" s="12"/>
      <x:c r="M428" s="12"/>
      <x:c r="N428" s="12"/>
      <x:c r="O428" s="12"/>
      <x:c r="P428" s="12"/>
      <x:c r="Q428" s="12"/>
      <x:c r="R428" s="12"/>
      <x:c r="S428" s="12"/>
      <x:c r="T428" s="12"/>
    </x:row>
    <x:row r="429">
      <x:c r="A429" s="12"/>
      <x:c r="B429" s="12"/>
      <x:c r="C429" s="12"/>
      <x:c r="D429" s="12"/>
      <x:c r="E429" s="12"/>
      <x:c r="F429" s="12"/>
      <x:c r="G429" s="12"/>
      <x:c r="H429" s="12"/>
      <x:c r="I429" s="12"/>
      <x:c r="J429" s="12"/>
      <x:c r="K429" s="12"/>
      <x:c r="L429" s="12"/>
      <x:c r="M429" s="12"/>
      <x:c r="N429" s="12"/>
      <x:c r="O429" s="12"/>
      <x:c r="P429" s="12"/>
      <x:c r="Q429" s="12"/>
      <x:c r="R429" s="12"/>
      <x:c r="S429" s="12"/>
      <x:c r="T429" s="12"/>
    </x:row>
    <x:row r="430">
      <x:c r="A430" s="12"/>
      <x:c r="B430" s="12"/>
      <x:c r="C430" s="12"/>
      <x:c r="D430" s="12"/>
      <x:c r="E430" s="12"/>
      <x:c r="F430" s="12"/>
      <x:c r="G430" s="12"/>
      <x:c r="H430" s="12"/>
      <x:c r="I430" s="12"/>
      <x:c r="J430" s="12"/>
      <x:c r="K430" s="12"/>
      <x:c r="L430" s="12"/>
      <x:c r="M430" s="12"/>
      <x:c r="N430" s="12"/>
      <x:c r="O430" s="12"/>
      <x:c r="P430" s="12"/>
      <x:c r="Q430" s="12"/>
      <x:c r="R430" s="12"/>
      <x:c r="S430" s="12"/>
      <x:c r="T430" s="12"/>
    </x:row>
    <x:row r="431">
      <x:c r="A431" s="12"/>
      <x:c r="B431" s="12"/>
      <x:c r="C431" s="12"/>
      <x:c r="D431" s="12"/>
      <x:c r="E431" s="12"/>
      <x:c r="F431" s="12"/>
      <x:c r="G431" s="12"/>
      <x:c r="H431" s="12"/>
      <x:c r="I431" s="12"/>
      <x:c r="J431" s="12"/>
      <x:c r="K431" s="12"/>
      <x:c r="L431" s="12"/>
      <x:c r="M431" s="12"/>
      <x:c r="N431" s="12"/>
      <x:c r="O431" s="12"/>
      <x:c r="P431" s="12"/>
      <x:c r="Q431" s="12"/>
      <x:c r="R431" s="12"/>
      <x:c r="S431" s="12"/>
      <x:c r="T431" s="12"/>
    </x:row>
    <x:row r="432">
      <x:c r="A432" s="12"/>
      <x:c r="B432" s="12"/>
      <x:c r="C432" s="12"/>
      <x:c r="D432" s="12"/>
      <x:c r="E432" s="12"/>
      <x:c r="F432" s="12"/>
      <x:c r="G432" s="12"/>
      <x:c r="H432" s="12"/>
      <x:c r="I432" s="12"/>
      <x:c r="J432" s="12"/>
      <x:c r="K432" s="12"/>
      <x:c r="L432" s="12"/>
      <x:c r="M432" s="12"/>
      <x:c r="N432" s="12"/>
      <x:c r="O432" s="12"/>
      <x:c r="P432" s="12"/>
      <x:c r="Q432" s="12"/>
      <x:c r="R432" s="12"/>
      <x:c r="S432" s="12"/>
      <x:c r="T432" s="12"/>
    </x:row>
    <x:row r="433">
      <x:c r="A433" s="12"/>
      <x:c r="B433" s="12"/>
      <x:c r="C433" s="12"/>
      <x:c r="D433" s="12"/>
      <x:c r="E433" s="12"/>
      <x:c r="F433" s="12"/>
      <x:c r="G433" s="12"/>
      <x:c r="H433" s="12"/>
      <x:c r="I433" s="12"/>
      <x:c r="J433" s="12"/>
      <x:c r="K433" s="12"/>
      <x:c r="L433" s="12"/>
      <x:c r="M433" s="12"/>
      <x:c r="N433" s="12"/>
      <x:c r="O433" s="12"/>
      <x:c r="P433" s="12"/>
      <x:c r="Q433" s="12"/>
      <x:c r="R433" s="12"/>
      <x:c r="S433" s="12"/>
      <x:c r="T433" s="12"/>
    </x:row>
    <x:row r="434">
      <x:c r="A434" s="12"/>
      <x:c r="B434" s="12"/>
      <x:c r="C434" s="12"/>
      <x:c r="D434" s="12"/>
      <x:c r="E434" s="12"/>
      <x:c r="F434" s="12"/>
      <x:c r="G434" s="12"/>
      <x:c r="H434" s="12"/>
      <x:c r="I434" s="12"/>
      <x:c r="J434" s="12"/>
      <x:c r="K434" s="12"/>
      <x:c r="L434" s="12"/>
      <x:c r="M434" s="12"/>
      <x:c r="N434" s="12"/>
      <x:c r="O434" s="12"/>
      <x:c r="P434" s="12"/>
      <x:c r="Q434" s="12"/>
      <x:c r="R434" s="12"/>
      <x:c r="S434" s="12"/>
      <x:c r="T434" s="12"/>
    </x:row>
    <x:row r="435">
      <x:c r="A435" s="12"/>
      <x:c r="B435" s="12"/>
      <x:c r="C435" s="12"/>
      <x:c r="D435" s="12"/>
      <x:c r="E435" s="12"/>
      <x:c r="F435" s="12"/>
      <x:c r="G435" s="12"/>
      <x:c r="H435" s="12"/>
      <x:c r="I435" s="12"/>
      <x:c r="J435" s="12"/>
      <x:c r="K435" s="12"/>
      <x:c r="L435" s="12"/>
      <x:c r="M435" s="12"/>
      <x:c r="N435" s="12"/>
      <x:c r="O435" s="12"/>
      <x:c r="P435" s="12"/>
      <x:c r="Q435" s="12"/>
      <x:c r="R435" s="12"/>
      <x:c r="S435" s="12"/>
      <x:c r="T435" s="12"/>
    </x:row>
    <x:row r="436">
      <x:c r="A436" s="12"/>
      <x:c r="B436" s="12"/>
      <x:c r="C436" s="12"/>
      <x:c r="D436" s="12"/>
      <x:c r="E436" s="12"/>
      <x:c r="F436" s="12"/>
      <x:c r="G436" s="12"/>
      <x:c r="H436" s="12"/>
      <x:c r="I436" s="12"/>
      <x:c r="J436" s="12"/>
      <x:c r="K436" s="12"/>
      <x:c r="L436" s="12"/>
      <x:c r="M436" s="12"/>
      <x:c r="N436" s="12"/>
      <x:c r="O436" s="12"/>
      <x:c r="P436" s="12"/>
      <x:c r="Q436" s="12"/>
      <x:c r="R436" s="12"/>
      <x:c r="S436" s="12"/>
      <x:c r="T436" s="12"/>
    </x:row>
    <x:row r="437">
      <x:c r="A437" s="12"/>
      <x:c r="B437" s="12"/>
      <x:c r="C437" s="12"/>
      <x:c r="D437" s="12"/>
      <x:c r="E437" s="12"/>
      <x:c r="F437" s="12"/>
      <x:c r="G437" s="12"/>
      <x:c r="H437" s="12"/>
      <x:c r="I437" s="12"/>
      <x:c r="J437" s="12"/>
      <x:c r="K437" s="12"/>
      <x:c r="L437" s="12"/>
      <x:c r="M437" s="12"/>
      <x:c r="N437" s="12"/>
      <x:c r="O437" s="12"/>
      <x:c r="P437" s="12"/>
      <x:c r="Q437" s="12"/>
      <x:c r="R437" s="12"/>
      <x:c r="S437" s="12"/>
      <x:c r="T437" s="12"/>
    </x:row>
    <x:row r="438">
      <x:c r="A438" s="12"/>
      <x:c r="B438" s="12"/>
      <x:c r="C438" s="12"/>
      <x:c r="D438" s="12"/>
      <x:c r="E438" s="12"/>
      <x:c r="F438" s="12"/>
      <x:c r="G438" s="12"/>
      <x:c r="H438" s="12"/>
      <x:c r="I438" s="12"/>
      <x:c r="J438" s="12"/>
      <x:c r="K438" s="12"/>
      <x:c r="L438" s="12"/>
      <x:c r="M438" s="12"/>
      <x:c r="N438" s="12"/>
      <x:c r="O438" s="12"/>
      <x:c r="P438" s="12"/>
      <x:c r="Q438" s="12"/>
      <x:c r="R438" s="12"/>
      <x:c r="S438" s="12"/>
      <x:c r="T438" s="12"/>
    </x:row>
    <x:row r="439">
      <x:c r="A439" s="12"/>
      <x:c r="B439" s="12"/>
      <x:c r="C439" s="12"/>
      <x:c r="D439" s="12"/>
      <x:c r="E439" s="12"/>
      <x:c r="F439" s="12"/>
      <x:c r="G439" s="12"/>
      <x:c r="H439" s="12"/>
      <x:c r="I439" s="12"/>
      <x:c r="J439" s="12"/>
      <x:c r="K439" s="12"/>
      <x:c r="L439" s="12"/>
      <x:c r="M439" s="12"/>
      <x:c r="N439" s="12"/>
      <x:c r="O439" s="12"/>
      <x:c r="P439" s="12"/>
      <x:c r="Q439" s="12"/>
      <x:c r="R439" s="12"/>
      <x:c r="S439" s="12"/>
      <x:c r="T439" s="12"/>
    </x:row>
    <x:row r="440">
      <x:c r="A440" s="12"/>
      <x:c r="B440" s="12"/>
      <x:c r="C440" s="12"/>
      <x:c r="D440" s="12"/>
      <x:c r="E440" s="12"/>
      <x:c r="F440" s="12"/>
      <x:c r="G440" s="12"/>
      <x:c r="H440" s="12"/>
      <x:c r="I440" s="12"/>
      <x:c r="J440" s="12"/>
      <x:c r="K440" s="12"/>
      <x:c r="L440" s="12"/>
      <x:c r="M440" s="12"/>
      <x:c r="N440" s="12"/>
      <x:c r="O440" s="12"/>
      <x:c r="P440" s="12"/>
      <x:c r="Q440" s="12"/>
      <x:c r="R440" s="12"/>
      <x:c r="S440" s="12"/>
      <x:c r="T440" s="12"/>
    </x:row>
    <x:row r="441">
      <x:c r="A441" s="12"/>
      <x:c r="B441" s="12"/>
      <x:c r="C441" s="12"/>
      <x:c r="D441" s="12"/>
      <x:c r="E441" s="12"/>
      <x:c r="F441" s="12"/>
      <x:c r="G441" s="12"/>
      <x:c r="H441" s="12"/>
      <x:c r="I441" s="12"/>
      <x:c r="J441" s="12"/>
      <x:c r="K441" s="12"/>
      <x:c r="L441" s="12"/>
      <x:c r="M441" s="12"/>
      <x:c r="N441" s="12"/>
      <x:c r="O441" s="12"/>
      <x:c r="P441" s="12"/>
      <x:c r="Q441" s="12"/>
      <x:c r="R441" s="12"/>
      <x:c r="S441" s="12"/>
      <x:c r="T441" s="12"/>
    </x:row>
    <x:row r="442">
      <x:c r="A442" s="12"/>
      <x:c r="B442" s="12"/>
      <x:c r="C442" s="12"/>
      <x:c r="D442" s="12"/>
      <x:c r="E442" s="12"/>
      <x:c r="F442" s="12"/>
      <x:c r="G442" s="12"/>
      <x:c r="H442" s="12"/>
      <x:c r="I442" s="12"/>
      <x:c r="J442" s="12"/>
      <x:c r="K442" s="12"/>
      <x:c r="L442" s="12"/>
      <x:c r="M442" s="12"/>
      <x:c r="N442" s="12"/>
      <x:c r="O442" s="12"/>
      <x:c r="P442" s="12"/>
      <x:c r="Q442" s="12"/>
      <x:c r="R442" s="12"/>
      <x:c r="S442" s="12"/>
      <x:c r="T442" s="12"/>
    </x:row>
    <x:row r="443">
      <x:c r="A443" s="12"/>
      <x:c r="B443" s="12"/>
      <x:c r="C443" s="12"/>
      <x:c r="D443" s="12"/>
      <x:c r="E443" s="12"/>
      <x:c r="F443" s="12"/>
      <x:c r="G443" s="12"/>
      <x:c r="H443" s="12"/>
      <x:c r="I443" s="12"/>
      <x:c r="J443" s="12"/>
      <x:c r="K443" s="12"/>
      <x:c r="L443" s="12"/>
      <x:c r="M443" s="12"/>
      <x:c r="N443" s="12"/>
      <x:c r="O443" s="12"/>
      <x:c r="P443" s="12"/>
      <x:c r="Q443" s="12"/>
      <x:c r="R443" s="12"/>
      <x:c r="S443" s="12"/>
      <x:c r="T443" s="12"/>
    </x:row>
    <x:row r="444">
      <x:c r="A444" s="12"/>
      <x:c r="B444" s="12"/>
      <x:c r="C444" s="12"/>
      <x:c r="D444" s="12"/>
      <x:c r="E444" s="12"/>
      <x:c r="F444" s="12"/>
      <x:c r="G444" s="12"/>
      <x:c r="H444" s="12"/>
      <x:c r="I444" s="12"/>
      <x:c r="J444" s="12"/>
      <x:c r="K444" s="12"/>
      <x:c r="L444" s="12"/>
      <x:c r="M444" s="12"/>
      <x:c r="N444" s="12"/>
      <x:c r="O444" s="12"/>
      <x:c r="P444" s="12"/>
      <x:c r="Q444" s="12"/>
      <x:c r="R444" s="12"/>
      <x:c r="S444" s="12"/>
      <x:c r="T444" s="12"/>
    </x:row>
    <x:row r="445">
      <x:c r="A445" s="12"/>
      <x:c r="B445" s="12"/>
      <x:c r="C445" s="12"/>
      <x:c r="D445" s="12"/>
      <x:c r="E445" s="12"/>
      <x:c r="F445" s="12"/>
      <x:c r="G445" s="12"/>
      <x:c r="H445" s="12"/>
      <x:c r="I445" s="12"/>
      <x:c r="J445" s="12"/>
      <x:c r="K445" s="12"/>
      <x:c r="L445" s="12"/>
      <x:c r="M445" s="12"/>
      <x:c r="N445" s="12"/>
      <x:c r="O445" s="12"/>
      <x:c r="P445" s="12"/>
      <x:c r="Q445" s="12"/>
      <x:c r="R445" s="12"/>
      <x:c r="S445" s="12"/>
      <x:c r="T445" s="12"/>
    </x:row>
    <x:row r="446">
      <x:c r="A446" s="12"/>
      <x:c r="B446" s="12"/>
      <x:c r="C446" s="12"/>
      <x:c r="D446" s="12"/>
      <x:c r="E446" s="12"/>
      <x:c r="F446" s="12"/>
      <x:c r="G446" s="12"/>
      <x:c r="H446" s="12"/>
      <x:c r="I446" s="12"/>
      <x:c r="J446" s="12"/>
      <x:c r="K446" s="12"/>
      <x:c r="L446" s="12"/>
      <x:c r="M446" s="12"/>
      <x:c r="N446" s="12"/>
      <x:c r="O446" s="12"/>
      <x:c r="P446" s="12"/>
      <x:c r="Q446" s="12"/>
      <x:c r="R446" s="12"/>
      <x:c r="S446" s="12"/>
      <x:c r="T446" s="12"/>
    </x:row>
    <x:row r="447">
      <x:c r="A447" s="12"/>
      <x:c r="B447" s="12"/>
      <x:c r="C447" s="12"/>
      <x:c r="D447" s="12"/>
      <x:c r="E447" s="12"/>
      <x:c r="F447" s="12"/>
      <x:c r="G447" s="12"/>
      <x:c r="H447" s="12"/>
      <x:c r="I447" s="12"/>
      <x:c r="J447" s="12"/>
      <x:c r="K447" s="12"/>
      <x:c r="L447" s="12"/>
      <x:c r="M447" s="12"/>
      <x:c r="N447" s="12"/>
      <x:c r="O447" s="12"/>
      <x:c r="P447" s="12"/>
      <x:c r="Q447" s="12"/>
      <x:c r="R447" s="12"/>
      <x:c r="S447" s="12"/>
      <x:c r="T447" s="12"/>
    </x:row>
    <x:row r="448">
      <x:c r="A448" s="12"/>
      <x:c r="B448" s="12"/>
      <x:c r="C448" s="12"/>
      <x:c r="D448" s="12"/>
      <x:c r="E448" s="12"/>
      <x:c r="F448" s="12"/>
      <x:c r="G448" s="12"/>
      <x:c r="H448" s="12"/>
      <x:c r="I448" s="12"/>
      <x:c r="J448" s="12"/>
      <x:c r="K448" s="12"/>
      <x:c r="L448" s="12"/>
      <x:c r="M448" s="12"/>
      <x:c r="N448" s="12"/>
      <x:c r="O448" s="12"/>
      <x:c r="P448" s="12"/>
      <x:c r="Q448" s="12"/>
      <x:c r="R448" s="12"/>
      <x:c r="S448" s="12"/>
      <x:c r="T448" s="12"/>
    </x:row>
    <x:row r="449">
      <x:c r="A449" s="12"/>
      <x:c r="B449" s="12"/>
      <x:c r="C449" s="12"/>
      <x:c r="D449" s="12"/>
      <x:c r="E449" s="12"/>
      <x:c r="F449" s="12"/>
      <x:c r="G449" s="12"/>
      <x:c r="H449" s="12"/>
      <x:c r="I449" s="12"/>
      <x:c r="J449" s="12"/>
      <x:c r="K449" s="12"/>
      <x:c r="L449" s="12"/>
      <x:c r="M449" s="12"/>
      <x:c r="N449" s="12"/>
      <x:c r="O449" s="12"/>
      <x:c r="P449" s="12"/>
      <x:c r="Q449" s="12"/>
      <x:c r="R449" s="12"/>
      <x:c r="S449" s="12"/>
      <x:c r="T449" s="12"/>
    </x:row>
    <x:row r="450">
      <x:c r="A450" s="12"/>
      <x:c r="B450" s="12"/>
      <x:c r="C450" s="12"/>
      <x:c r="D450" s="12"/>
      <x:c r="E450" s="12"/>
      <x:c r="F450" s="12"/>
      <x:c r="G450" s="12"/>
      <x:c r="H450" s="12"/>
      <x:c r="I450" s="12"/>
      <x:c r="J450" s="12"/>
      <x:c r="K450" s="12"/>
      <x:c r="L450" s="12"/>
      <x:c r="M450" s="12"/>
      <x:c r="N450" s="12"/>
      <x:c r="O450" s="12"/>
      <x:c r="P450" s="12"/>
      <x:c r="Q450" s="12"/>
      <x:c r="R450" s="12"/>
      <x:c r="S450" s="12"/>
      <x:c r="T450" s="12"/>
    </x:row>
    <x:row r="451">
      <x:c r="A451" s="12"/>
      <x:c r="B451" s="12"/>
      <x:c r="C451" s="12"/>
      <x:c r="D451" s="12"/>
      <x:c r="E451" s="12"/>
      <x:c r="F451" s="12"/>
      <x:c r="G451" s="12"/>
      <x:c r="H451" s="12"/>
      <x:c r="I451" s="12"/>
      <x:c r="J451" s="12"/>
      <x:c r="K451" s="12"/>
      <x:c r="L451" s="12"/>
      <x:c r="M451" s="12"/>
      <x:c r="N451" s="12"/>
      <x:c r="O451" s="12"/>
      <x:c r="P451" s="12"/>
      <x:c r="Q451" s="12"/>
      <x:c r="R451" s="12"/>
      <x:c r="S451" s="12"/>
      <x:c r="T451" s="12"/>
    </x:row>
    <x:row r="452">
      <x:c r="A452" s="12"/>
      <x:c r="B452" s="12"/>
      <x:c r="C452" s="12"/>
      <x:c r="D452" s="12"/>
      <x:c r="E452" s="12"/>
      <x:c r="F452" s="12"/>
      <x:c r="G452" s="12"/>
      <x:c r="H452" s="12"/>
      <x:c r="I452" s="12"/>
      <x:c r="J452" s="12"/>
      <x:c r="K452" s="12"/>
      <x:c r="L452" s="12"/>
      <x:c r="M452" s="12"/>
      <x:c r="N452" s="12"/>
      <x:c r="O452" s="12"/>
      <x:c r="P452" s="12"/>
      <x:c r="Q452" s="12"/>
      <x:c r="R452" s="12"/>
      <x:c r="S452" s="12"/>
      <x:c r="T452" s="12"/>
    </x:row>
    <x:row r="453">
      <x:c r="A453" s="12"/>
      <x:c r="B453" s="12"/>
      <x:c r="C453" s="12"/>
      <x:c r="D453" s="12"/>
      <x:c r="E453" s="12"/>
      <x:c r="F453" s="12"/>
      <x:c r="G453" s="12"/>
      <x:c r="H453" s="12"/>
      <x:c r="I453" s="12"/>
      <x:c r="J453" s="12"/>
      <x:c r="K453" s="12"/>
      <x:c r="L453" s="12"/>
      <x:c r="M453" s="12"/>
      <x:c r="N453" s="12"/>
      <x:c r="O453" s="12"/>
      <x:c r="P453" s="12"/>
      <x:c r="Q453" s="12"/>
      <x:c r="R453" s="12"/>
      <x:c r="S453" s="12"/>
      <x:c r="T453" s="12"/>
    </x:row>
    <x:row r="454">
      <x:c r="A454" s="12"/>
      <x:c r="B454" s="12"/>
      <x:c r="C454" s="12"/>
      <x:c r="D454" s="12"/>
      <x:c r="E454" s="12"/>
      <x:c r="F454" s="12"/>
      <x:c r="G454" s="12"/>
      <x:c r="H454" s="12"/>
      <x:c r="I454" s="12"/>
      <x:c r="J454" s="12"/>
      <x:c r="K454" s="12"/>
      <x:c r="L454" s="12"/>
      <x:c r="M454" s="12"/>
      <x:c r="N454" s="12"/>
      <x:c r="O454" s="12"/>
      <x:c r="P454" s="12"/>
      <x:c r="Q454" s="12"/>
      <x:c r="R454" s="12"/>
      <x:c r="S454" s="12"/>
      <x:c r="T454" s="12"/>
    </x:row>
    <x:row r="455">
      <x:c r="A455" s="12"/>
      <x:c r="B455" s="12"/>
      <x:c r="C455" s="12"/>
      <x:c r="D455" s="12"/>
      <x:c r="E455" s="12"/>
      <x:c r="F455" s="12"/>
      <x:c r="G455" s="12"/>
      <x:c r="H455" s="12"/>
      <x:c r="I455" s="12"/>
      <x:c r="J455" s="12"/>
      <x:c r="K455" s="12"/>
      <x:c r="L455" s="12"/>
      <x:c r="M455" s="12"/>
      <x:c r="N455" s="12"/>
      <x:c r="O455" s="12"/>
      <x:c r="P455" s="12"/>
      <x:c r="Q455" s="12"/>
      <x:c r="R455" s="12"/>
      <x:c r="S455" s="12"/>
      <x:c r="T455" s="12"/>
    </x:row>
    <x:row r="456">
      <x:c r="A456" s="12"/>
      <x:c r="B456" s="12"/>
      <x:c r="C456" s="12"/>
      <x:c r="D456" s="12"/>
      <x:c r="E456" s="12"/>
      <x:c r="F456" s="12"/>
      <x:c r="G456" s="12"/>
      <x:c r="H456" s="12"/>
      <x:c r="I456" s="12"/>
      <x:c r="J456" s="12"/>
      <x:c r="K456" s="12"/>
      <x:c r="L456" s="12"/>
      <x:c r="M456" s="12"/>
      <x:c r="N456" s="12"/>
      <x:c r="O456" s="12"/>
      <x:c r="P456" s="12"/>
      <x:c r="Q456" s="12"/>
      <x:c r="R456" s="12"/>
      <x:c r="S456" s="12"/>
      <x:c r="T456" s="12"/>
    </x:row>
    <x:row r="457">
      <x:c r="A457" s="12"/>
      <x:c r="B457" s="12"/>
      <x:c r="C457" s="12"/>
      <x:c r="D457" s="12"/>
      <x:c r="E457" s="12"/>
      <x:c r="F457" s="12"/>
      <x:c r="G457" s="12"/>
      <x:c r="H457" s="12"/>
      <x:c r="I457" s="12"/>
      <x:c r="J457" s="12"/>
      <x:c r="K457" s="12"/>
      <x:c r="L457" s="12"/>
      <x:c r="M457" s="12"/>
      <x:c r="N457" s="12"/>
      <x:c r="O457" s="12"/>
      <x:c r="P457" s="12"/>
      <x:c r="Q457" s="12"/>
      <x:c r="R457" s="12"/>
      <x:c r="S457" s="12"/>
      <x:c r="T457" s="12"/>
    </x:row>
    <x:row r="458">
      <x:c r="A458" s="12"/>
      <x:c r="B458" s="12"/>
      <x:c r="C458" s="12"/>
      <x:c r="D458" s="12"/>
      <x:c r="E458" s="12"/>
      <x:c r="F458" s="12"/>
      <x:c r="G458" s="12"/>
      <x:c r="H458" s="12"/>
      <x:c r="I458" s="12"/>
      <x:c r="J458" s="12"/>
      <x:c r="K458" s="12"/>
      <x:c r="L458" s="12"/>
      <x:c r="M458" s="12"/>
      <x:c r="N458" s="12"/>
      <x:c r="O458" s="12"/>
      <x:c r="P458" s="12"/>
      <x:c r="Q458" s="12"/>
      <x:c r="R458" s="12"/>
      <x:c r="S458" s="12"/>
      <x:c r="T458" s="12"/>
    </x:row>
    <x:row r="459">
      <x:c r="A459" s="12"/>
      <x:c r="B459" s="12"/>
      <x:c r="C459" s="12"/>
      <x:c r="D459" s="12"/>
      <x:c r="E459" s="12"/>
      <x:c r="F459" s="12"/>
      <x:c r="G459" s="12"/>
      <x:c r="H459" s="12"/>
      <x:c r="I459" s="12"/>
      <x:c r="J459" s="12"/>
      <x:c r="K459" s="12"/>
      <x:c r="L459" s="12"/>
      <x:c r="M459" s="12"/>
      <x:c r="N459" s="12"/>
      <x:c r="O459" s="12"/>
      <x:c r="P459" s="12"/>
      <x:c r="Q459" s="12"/>
      <x:c r="R459" s="12"/>
      <x:c r="S459" s="12"/>
      <x:c r="T459" s="12"/>
    </x:row>
    <x:row r="460">
      <x:c r="A460" s="12"/>
      <x:c r="B460" s="12"/>
      <x:c r="C460" s="12"/>
      <x:c r="D460" s="12"/>
      <x:c r="E460" s="12"/>
      <x:c r="F460" s="12"/>
      <x:c r="G460" s="12"/>
      <x:c r="H460" s="12"/>
      <x:c r="I460" s="12"/>
      <x:c r="J460" s="12"/>
      <x:c r="K460" s="12"/>
      <x:c r="L460" s="12"/>
      <x:c r="M460" s="12"/>
      <x:c r="N460" s="12"/>
      <x:c r="O460" s="12"/>
      <x:c r="P460" s="12"/>
      <x:c r="Q460" s="12"/>
      <x:c r="R460" s="12"/>
      <x:c r="S460" s="12"/>
      <x:c r="T460" s="12"/>
    </x:row>
    <x:row r="461">
      <x:c r="A461" s="12"/>
      <x:c r="B461" s="12"/>
      <x:c r="C461" s="12"/>
      <x:c r="D461" s="12"/>
      <x:c r="E461" s="12"/>
      <x:c r="F461" s="12"/>
      <x:c r="G461" s="12"/>
      <x:c r="H461" s="12"/>
      <x:c r="I461" s="12"/>
      <x:c r="J461" s="12"/>
      <x:c r="K461" s="12"/>
      <x:c r="L461" s="12"/>
      <x:c r="M461" s="12"/>
      <x:c r="N461" s="12"/>
      <x:c r="O461" s="12"/>
      <x:c r="P461" s="12"/>
      <x:c r="Q461" s="12"/>
      <x:c r="R461" s="12"/>
      <x:c r="S461" s="12"/>
      <x:c r="T461" s="12"/>
    </x:row>
    <x:row r="462">
      <x:c r="A462" s="12"/>
      <x:c r="B462" s="12"/>
      <x:c r="C462" s="12"/>
      <x:c r="D462" s="12"/>
      <x:c r="E462" s="12"/>
      <x:c r="F462" s="12"/>
      <x:c r="G462" s="12"/>
      <x:c r="H462" s="12"/>
      <x:c r="I462" s="12"/>
      <x:c r="J462" s="12"/>
      <x:c r="K462" s="12"/>
      <x:c r="L462" s="12"/>
      <x:c r="M462" s="12"/>
      <x:c r="N462" s="12"/>
      <x:c r="O462" s="12"/>
      <x:c r="P462" s="12"/>
      <x:c r="Q462" s="12"/>
      <x:c r="R462" s="12"/>
      <x:c r="S462" s="12"/>
      <x:c r="T462" s="12"/>
    </x:row>
    <x:row r="463">
      <x:c r="A463" s="12"/>
      <x:c r="B463" s="12"/>
      <x:c r="C463" s="12"/>
      <x:c r="D463" s="12"/>
      <x:c r="E463" s="12"/>
      <x:c r="F463" s="12"/>
      <x:c r="G463" s="12"/>
      <x:c r="H463" s="12"/>
      <x:c r="I463" s="12"/>
      <x:c r="J463" s="12"/>
      <x:c r="K463" s="12"/>
      <x:c r="L463" s="12"/>
      <x:c r="M463" s="12"/>
      <x:c r="N463" s="12"/>
      <x:c r="O463" s="12"/>
      <x:c r="P463" s="12"/>
      <x:c r="Q463" s="12"/>
      <x:c r="R463" s="12"/>
      <x:c r="S463" s="12"/>
      <x:c r="T463" s="12"/>
    </x:row>
    <x:row r="464">
      <x:c r="A464" s="12"/>
      <x:c r="B464" s="12"/>
      <x:c r="C464" s="12"/>
      <x:c r="D464" s="12"/>
      <x:c r="E464" s="12"/>
      <x:c r="F464" s="12"/>
      <x:c r="G464" s="12"/>
      <x:c r="H464" s="12"/>
      <x:c r="I464" s="12"/>
      <x:c r="J464" s="12"/>
      <x:c r="K464" s="12"/>
      <x:c r="L464" s="12"/>
      <x:c r="M464" s="12"/>
      <x:c r="N464" s="12"/>
      <x:c r="O464" s="12"/>
      <x:c r="P464" s="12"/>
      <x:c r="Q464" s="12"/>
      <x:c r="R464" s="12"/>
      <x:c r="S464" s="12"/>
      <x:c r="T464" s="12"/>
    </x:row>
    <x:row r="465">
      <x:c r="A465" s="12"/>
      <x:c r="B465" s="12"/>
      <x:c r="C465" s="12"/>
      <x:c r="D465" s="12"/>
      <x:c r="E465" s="12"/>
      <x:c r="F465" s="12"/>
      <x:c r="G465" s="12"/>
      <x:c r="H465" s="12"/>
      <x:c r="I465" s="12"/>
      <x:c r="J465" s="12"/>
      <x:c r="K465" s="12"/>
      <x:c r="L465" s="12"/>
      <x:c r="M465" s="12"/>
      <x:c r="N465" s="12"/>
      <x:c r="O465" s="12"/>
      <x:c r="P465" s="12"/>
      <x:c r="Q465" s="12"/>
      <x:c r="R465" s="12"/>
      <x:c r="S465" s="12"/>
      <x:c r="T465" s="12"/>
    </x:row>
    <x:row r="466">
      <x:c r="A466" s="12"/>
      <x:c r="B466" s="12"/>
      <x:c r="C466" s="12"/>
      <x:c r="D466" s="12"/>
      <x:c r="E466" s="12"/>
      <x:c r="F466" s="12"/>
      <x:c r="G466" s="12"/>
      <x:c r="H466" s="12"/>
      <x:c r="I466" s="12"/>
      <x:c r="J466" s="12"/>
      <x:c r="K466" s="12"/>
      <x:c r="L466" s="12"/>
      <x:c r="M466" s="12"/>
      <x:c r="N466" s="12"/>
      <x:c r="O466" s="12"/>
      <x:c r="P466" s="12"/>
      <x:c r="Q466" s="12"/>
      <x:c r="R466" s="12"/>
      <x:c r="S466" s="12"/>
      <x:c r="T466" s="12"/>
    </x:row>
    <x:row r="467">
      <x:c r="A467" s="12"/>
      <x:c r="B467" s="12"/>
      <x:c r="C467" s="12"/>
      <x:c r="D467" s="12"/>
      <x:c r="E467" s="12"/>
      <x:c r="F467" s="12"/>
      <x:c r="G467" s="12"/>
      <x:c r="H467" s="12"/>
      <x:c r="I467" s="12"/>
      <x:c r="J467" s="12"/>
      <x:c r="K467" s="12"/>
      <x:c r="L467" s="12"/>
      <x:c r="M467" s="12"/>
      <x:c r="N467" s="12"/>
      <x:c r="O467" s="12"/>
      <x:c r="P467" s="12"/>
      <x:c r="Q467" s="12"/>
      <x:c r="R467" s="12"/>
      <x:c r="S467" s="12"/>
      <x:c r="T467" s="12"/>
    </x:row>
    <x:row r="468">
      <x:c r="A468" s="12"/>
      <x:c r="B468" s="12"/>
      <x:c r="C468" s="12"/>
      <x:c r="D468" s="12"/>
      <x:c r="E468" s="12"/>
      <x:c r="F468" s="12"/>
      <x:c r="G468" s="12"/>
      <x:c r="H468" s="12"/>
      <x:c r="I468" s="12"/>
      <x:c r="J468" s="12"/>
      <x:c r="K468" s="12"/>
      <x:c r="L468" s="12"/>
      <x:c r="M468" s="12"/>
      <x:c r="N468" s="12"/>
      <x:c r="O468" s="12"/>
      <x:c r="P468" s="12"/>
      <x:c r="Q468" s="12"/>
      <x:c r="R468" s="12"/>
      <x:c r="S468" s="12"/>
      <x:c r="T468" s="12"/>
    </x:row>
    <x:row r="469">
      <x:c r="A469" s="12"/>
      <x:c r="B469" s="12"/>
      <x:c r="C469" s="12"/>
      <x:c r="D469" s="12"/>
      <x:c r="E469" s="12"/>
      <x:c r="F469" s="12"/>
      <x:c r="G469" s="12"/>
      <x:c r="H469" s="12"/>
      <x:c r="I469" s="12"/>
      <x:c r="J469" s="12"/>
      <x:c r="K469" s="12"/>
      <x:c r="L469" s="12"/>
      <x:c r="M469" s="12"/>
      <x:c r="N469" s="12"/>
      <x:c r="O469" s="12"/>
      <x:c r="P469" s="12"/>
      <x:c r="Q469" s="12"/>
      <x:c r="R469" s="12"/>
      <x:c r="S469" s="12"/>
      <x:c r="T469" s="12"/>
    </x:row>
    <x:row r="470">
      <x:c r="A470" s="12"/>
      <x:c r="B470" s="12"/>
      <x:c r="C470" s="12"/>
      <x:c r="D470" s="12"/>
      <x:c r="E470" s="12"/>
      <x:c r="F470" s="12"/>
      <x:c r="G470" s="12"/>
      <x:c r="H470" s="12"/>
      <x:c r="I470" s="12"/>
      <x:c r="J470" s="12"/>
      <x:c r="K470" s="12"/>
      <x:c r="L470" s="12"/>
      <x:c r="M470" s="12"/>
      <x:c r="N470" s="12"/>
      <x:c r="O470" s="12"/>
      <x:c r="P470" s="12"/>
      <x:c r="Q470" s="12"/>
      <x:c r="R470" s="12"/>
      <x:c r="S470" s="12"/>
      <x:c r="T470" s="12"/>
    </x:row>
    <x:row r="471">
      <x:c r="A471" s="12"/>
      <x:c r="B471" s="12"/>
      <x:c r="C471" s="12"/>
      <x:c r="D471" s="12"/>
      <x:c r="E471" s="12"/>
      <x:c r="F471" s="12"/>
      <x:c r="G471" s="12"/>
      <x:c r="H471" s="12"/>
      <x:c r="I471" s="12"/>
      <x:c r="J471" s="12"/>
      <x:c r="K471" s="12"/>
      <x:c r="L471" s="12"/>
      <x:c r="M471" s="12"/>
      <x:c r="N471" s="12"/>
      <x:c r="O471" s="12"/>
      <x:c r="P471" s="12"/>
      <x:c r="Q471" s="12"/>
      <x:c r="R471" s="12"/>
      <x:c r="S471" s="12"/>
      <x:c r="T471" s="12"/>
    </x:row>
    <x:row r="472">
      <x:c r="A472" s="12"/>
      <x:c r="B472" s="12"/>
      <x:c r="C472" s="12"/>
      <x:c r="D472" s="12"/>
      <x:c r="E472" s="12"/>
      <x:c r="F472" s="12"/>
      <x:c r="G472" s="12"/>
      <x:c r="H472" s="12"/>
      <x:c r="I472" s="12"/>
      <x:c r="J472" s="12"/>
      <x:c r="K472" s="12"/>
      <x:c r="L472" s="12"/>
      <x:c r="M472" s="12"/>
      <x:c r="N472" s="12"/>
      <x:c r="O472" s="12"/>
      <x:c r="P472" s="12"/>
      <x:c r="Q472" s="12"/>
      <x:c r="R472" s="12"/>
      <x:c r="S472" s="12"/>
      <x:c r="T472" s="12"/>
    </x:row>
    <x:row r="473">
      <x:c r="A473" s="12"/>
      <x:c r="B473" s="12"/>
      <x:c r="C473" s="12"/>
      <x:c r="D473" s="12"/>
      <x:c r="E473" s="12"/>
      <x:c r="F473" s="12"/>
      <x:c r="G473" s="12"/>
      <x:c r="H473" s="12"/>
      <x:c r="I473" s="12"/>
      <x:c r="J473" s="12"/>
      <x:c r="K473" s="12"/>
      <x:c r="L473" s="12"/>
      <x:c r="M473" s="12"/>
      <x:c r="N473" s="12"/>
      <x:c r="O473" s="12"/>
      <x:c r="P473" s="12"/>
      <x:c r="Q473" s="12"/>
      <x:c r="R473" s="12"/>
      <x:c r="S473" s="12"/>
      <x:c r="T473" s="12"/>
    </x:row>
    <x:row r="474">
      <x:c r="A474" s="12"/>
      <x:c r="B474" s="12"/>
      <x:c r="C474" s="12"/>
      <x:c r="D474" s="12"/>
      <x:c r="E474" s="12"/>
      <x:c r="F474" s="12"/>
      <x:c r="G474" s="12"/>
      <x:c r="H474" s="12"/>
      <x:c r="I474" s="12"/>
      <x:c r="J474" s="12"/>
      <x:c r="K474" s="12"/>
      <x:c r="L474" s="12"/>
      <x:c r="M474" s="12"/>
      <x:c r="N474" s="12"/>
      <x:c r="O474" s="12"/>
      <x:c r="P474" s="12"/>
      <x:c r="Q474" s="12"/>
      <x:c r="R474" s="12"/>
      <x:c r="S474" s="12"/>
      <x:c r="T474" s="12"/>
    </x:row>
    <x:row r="475">
      <x:c r="A475" s="12"/>
      <x:c r="B475" s="12"/>
      <x:c r="C475" s="12"/>
      <x:c r="D475" s="12"/>
      <x:c r="E475" s="12"/>
      <x:c r="F475" s="12"/>
      <x:c r="G475" s="12"/>
      <x:c r="H475" s="12"/>
      <x:c r="I475" s="12"/>
      <x:c r="J475" s="12"/>
      <x:c r="K475" s="12"/>
      <x:c r="L475" s="12"/>
      <x:c r="M475" s="12"/>
      <x:c r="N475" s="12"/>
      <x:c r="O475" s="12"/>
      <x:c r="P475" s="12"/>
      <x:c r="Q475" s="12"/>
      <x:c r="R475" s="12"/>
      <x:c r="S475" s="12"/>
      <x:c r="T475" s="12"/>
    </x:row>
    <x:row r="476">
      <x:c r="A476" s="12"/>
      <x:c r="B476" s="12"/>
      <x:c r="C476" s="12"/>
      <x:c r="D476" s="12"/>
      <x:c r="E476" s="12"/>
      <x:c r="F476" s="12"/>
      <x:c r="G476" s="12"/>
      <x:c r="H476" s="12"/>
      <x:c r="I476" s="12"/>
      <x:c r="J476" s="12"/>
      <x:c r="K476" s="12"/>
      <x:c r="L476" s="12"/>
      <x:c r="M476" s="12"/>
      <x:c r="N476" s="12"/>
      <x:c r="O476" s="12"/>
      <x:c r="P476" s="12"/>
      <x:c r="Q476" s="12"/>
      <x:c r="R476" s="12"/>
      <x:c r="S476" s="12"/>
      <x:c r="T476" s="12"/>
    </x:row>
    <x:row r="477">
      <x:c r="A477" s="12"/>
      <x:c r="B477" s="12"/>
      <x:c r="C477" s="12"/>
      <x:c r="D477" s="12"/>
      <x:c r="E477" s="12"/>
      <x:c r="F477" s="12"/>
      <x:c r="G477" s="12"/>
      <x:c r="H477" s="12"/>
      <x:c r="I477" s="12"/>
      <x:c r="J477" s="12"/>
      <x:c r="K477" s="12"/>
      <x:c r="L477" s="12"/>
      <x:c r="M477" s="12"/>
      <x:c r="N477" s="12"/>
      <x:c r="O477" s="12"/>
      <x:c r="P477" s="12"/>
      <x:c r="Q477" s="12"/>
      <x:c r="R477" s="12"/>
      <x:c r="S477" s="12"/>
      <x:c r="T477" s="12"/>
    </x:row>
    <x:row r="478">
      <x:c r="A478" s="12"/>
      <x:c r="B478" s="12"/>
      <x:c r="C478" s="12"/>
      <x:c r="D478" s="12"/>
      <x:c r="E478" s="12"/>
      <x:c r="F478" s="12"/>
      <x:c r="G478" s="12"/>
      <x:c r="H478" s="12"/>
      <x:c r="I478" s="12"/>
      <x:c r="J478" s="12"/>
      <x:c r="K478" s="12"/>
      <x:c r="L478" s="12"/>
      <x:c r="M478" s="12"/>
      <x:c r="N478" s="12"/>
      <x:c r="O478" s="12"/>
      <x:c r="P478" s="12"/>
      <x:c r="Q478" s="12"/>
      <x:c r="R478" s="12"/>
      <x:c r="S478" s="12"/>
      <x:c r="T478" s="12"/>
    </x:row>
    <x:row r="479">
      <x:c r="A479" s="12"/>
      <x:c r="B479" s="12"/>
      <x:c r="C479" s="12"/>
      <x:c r="D479" s="12"/>
      <x:c r="E479" s="12"/>
      <x:c r="F479" s="12"/>
      <x:c r="G479" s="12"/>
      <x:c r="H479" s="12"/>
      <x:c r="I479" s="12"/>
      <x:c r="J479" s="12"/>
      <x:c r="K479" s="12"/>
      <x:c r="L479" s="12"/>
      <x:c r="M479" s="12"/>
      <x:c r="N479" s="12"/>
      <x:c r="O479" s="12"/>
      <x:c r="P479" s="12"/>
      <x:c r="Q479" s="12"/>
      <x:c r="R479" s="12"/>
      <x:c r="S479" s="12"/>
      <x:c r="T479" s="12"/>
    </x:row>
    <x:row r="480">
      <x:c r="A480" s="12"/>
      <x:c r="B480" s="12"/>
      <x:c r="C480" s="12"/>
      <x:c r="D480" s="12"/>
      <x:c r="E480" s="12"/>
      <x:c r="F480" s="12"/>
      <x:c r="G480" s="12"/>
      <x:c r="H480" s="12"/>
      <x:c r="I480" s="12"/>
      <x:c r="J480" s="12"/>
      <x:c r="K480" s="12"/>
      <x:c r="L480" s="12"/>
      <x:c r="M480" s="12"/>
      <x:c r="N480" s="12"/>
      <x:c r="O480" s="12"/>
      <x:c r="P480" s="12"/>
      <x:c r="Q480" s="12"/>
      <x:c r="R480" s="12"/>
      <x:c r="S480" s="12"/>
      <x:c r="T480" s="12"/>
    </x:row>
    <x:row r="481">
      <x:c r="A481" s="12"/>
      <x:c r="B481" s="12"/>
      <x:c r="C481" s="12"/>
      <x:c r="D481" s="12"/>
      <x:c r="E481" s="12"/>
      <x:c r="F481" s="12"/>
      <x:c r="G481" s="12"/>
      <x:c r="H481" s="12"/>
      <x:c r="I481" s="12"/>
      <x:c r="J481" s="12"/>
      <x:c r="K481" s="12"/>
      <x:c r="L481" s="12"/>
      <x:c r="M481" s="12"/>
      <x:c r="N481" s="12"/>
      <x:c r="O481" s="12"/>
      <x:c r="P481" s="12"/>
      <x:c r="Q481" s="12"/>
      <x:c r="R481" s="12"/>
      <x:c r="S481" s="12"/>
      <x:c r="T481" s="12"/>
    </x:row>
    <x:row r="482">
      <x:c r="A482" s="12"/>
      <x:c r="B482" s="12"/>
      <x:c r="C482" s="12"/>
      <x:c r="D482" s="12"/>
      <x:c r="E482" s="12"/>
      <x:c r="F482" s="12"/>
      <x:c r="G482" s="12"/>
      <x:c r="H482" s="12"/>
      <x:c r="I482" s="12"/>
      <x:c r="J482" s="12"/>
      <x:c r="K482" s="12"/>
      <x:c r="L482" s="12"/>
      <x:c r="M482" s="12"/>
      <x:c r="N482" s="12"/>
      <x:c r="O482" s="12"/>
      <x:c r="P482" s="12"/>
      <x:c r="Q482" s="12"/>
      <x:c r="R482" s="12"/>
      <x:c r="S482" s="12"/>
      <x:c r="T482" s="12"/>
    </x:row>
    <x:row r="483">
      <x:c r="A483" s="12"/>
      <x:c r="B483" s="12"/>
      <x:c r="C483" s="12"/>
      <x:c r="D483" s="12"/>
      <x:c r="E483" s="12"/>
      <x:c r="F483" s="12"/>
      <x:c r="G483" s="12"/>
      <x:c r="H483" s="12"/>
      <x:c r="I483" s="12"/>
      <x:c r="J483" s="12"/>
      <x:c r="K483" s="12"/>
      <x:c r="L483" s="12"/>
      <x:c r="M483" s="12"/>
      <x:c r="N483" s="12"/>
      <x:c r="O483" s="12"/>
      <x:c r="P483" s="12"/>
      <x:c r="Q483" s="12"/>
      <x:c r="R483" s="12"/>
      <x:c r="S483" s="12"/>
      <x:c r="T483" s="12"/>
    </x:row>
    <x:row r="484">
      <x:c r="A484" s="12"/>
      <x:c r="B484" s="12"/>
      <x:c r="C484" s="12"/>
      <x:c r="D484" s="12"/>
      <x:c r="E484" s="12"/>
      <x:c r="F484" s="12"/>
      <x:c r="G484" s="12"/>
      <x:c r="H484" s="12"/>
      <x:c r="I484" s="12"/>
      <x:c r="J484" s="12"/>
      <x:c r="K484" s="12"/>
      <x:c r="L484" s="12"/>
      <x:c r="M484" s="12"/>
      <x:c r="N484" s="12"/>
      <x:c r="O484" s="12"/>
      <x:c r="P484" s="12"/>
      <x:c r="Q484" s="12"/>
      <x:c r="R484" s="12"/>
      <x:c r="S484" s="12"/>
      <x:c r="T484" s="12"/>
    </x:row>
    <x:row r="485">
      <x:c r="A485" s="12"/>
      <x:c r="B485" s="12"/>
      <x:c r="C485" s="12"/>
      <x:c r="D485" s="12"/>
      <x:c r="E485" s="12"/>
      <x:c r="F485" s="12"/>
      <x:c r="G485" s="12"/>
      <x:c r="H485" s="12"/>
      <x:c r="I485" s="12"/>
      <x:c r="J485" s="12"/>
      <x:c r="K485" s="12"/>
      <x:c r="L485" s="12"/>
      <x:c r="M485" s="12"/>
      <x:c r="N485" s="12"/>
      <x:c r="O485" s="12"/>
      <x:c r="P485" s="12"/>
      <x:c r="Q485" s="12"/>
      <x:c r="R485" s="12"/>
      <x:c r="S485" s="12"/>
      <x:c r="T485" s="12"/>
    </x:row>
    <x:row r="486">
      <x:c r="A486" s="12"/>
      <x:c r="B486" s="12"/>
      <x:c r="C486" s="12"/>
      <x:c r="D486" s="12"/>
      <x:c r="E486" s="12"/>
      <x:c r="F486" s="12"/>
      <x:c r="G486" s="12"/>
      <x:c r="H486" s="12"/>
      <x:c r="I486" s="12"/>
      <x:c r="J486" s="12"/>
      <x:c r="K486" s="12"/>
      <x:c r="L486" s="12"/>
      <x:c r="M486" s="12"/>
      <x:c r="N486" s="12"/>
      <x:c r="O486" s="12"/>
      <x:c r="P486" s="12"/>
      <x:c r="Q486" s="12"/>
      <x:c r="R486" s="12"/>
      <x:c r="S486" s="12"/>
      <x:c r="T486" s="12"/>
    </x:row>
    <x:row r="487">
      <x:c r="A487" s="12"/>
      <x:c r="B487" s="12"/>
      <x:c r="C487" s="12"/>
      <x:c r="D487" s="12"/>
      <x:c r="E487" s="12"/>
      <x:c r="F487" s="12"/>
      <x:c r="G487" s="12"/>
      <x:c r="H487" s="12"/>
      <x:c r="I487" s="12"/>
      <x:c r="J487" s="12"/>
      <x:c r="K487" s="12"/>
      <x:c r="L487" s="12"/>
      <x:c r="M487" s="12"/>
      <x:c r="N487" s="12"/>
      <x:c r="O487" s="12"/>
      <x:c r="P487" s="12"/>
      <x:c r="Q487" s="12"/>
      <x:c r="R487" s="12"/>
      <x:c r="S487" s="12"/>
      <x:c r="T487" s="12"/>
    </x:row>
    <x:row r="488">
      <x:c r="A488" s="12"/>
      <x:c r="B488" s="12"/>
      <x:c r="C488" s="12"/>
      <x:c r="D488" s="12"/>
      <x:c r="E488" s="12"/>
      <x:c r="F488" s="12"/>
      <x:c r="G488" s="12"/>
      <x:c r="H488" s="12"/>
      <x:c r="I488" s="12"/>
      <x:c r="J488" s="12"/>
      <x:c r="K488" s="12"/>
      <x:c r="L488" s="12"/>
      <x:c r="M488" s="12"/>
      <x:c r="N488" s="12"/>
      <x:c r="O488" s="12"/>
      <x:c r="P488" s="12"/>
      <x:c r="Q488" s="12"/>
      <x:c r="R488" s="12"/>
      <x:c r="S488" s="12"/>
      <x:c r="T488" s="12"/>
    </x:row>
    <x:row r="489">
      <x:c r="A489" s="12"/>
      <x:c r="B489" s="12"/>
      <x:c r="C489" s="12"/>
      <x:c r="D489" s="12"/>
      <x:c r="E489" s="12"/>
      <x:c r="F489" s="12"/>
      <x:c r="G489" s="12"/>
      <x:c r="H489" s="12"/>
      <x:c r="I489" s="12"/>
      <x:c r="J489" s="12"/>
      <x:c r="K489" s="12"/>
      <x:c r="L489" s="12"/>
      <x:c r="M489" s="12"/>
      <x:c r="N489" s="12"/>
      <x:c r="O489" s="12"/>
      <x:c r="P489" s="12"/>
      <x:c r="Q489" s="12"/>
      <x:c r="R489" s="12"/>
      <x:c r="S489" s="12"/>
      <x:c r="T489" s="12"/>
    </x:row>
    <x:row r="490">
      <x:c r="A490" s="12"/>
      <x:c r="B490" s="12"/>
      <x:c r="C490" s="12"/>
      <x:c r="D490" s="12"/>
      <x:c r="E490" s="12"/>
      <x:c r="F490" s="12"/>
      <x:c r="G490" s="12"/>
      <x:c r="H490" s="12"/>
      <x:c r="I490" s="12"/>
      <x:c r="J490" s="12"/>
      <x:c r="K490" s="12"/>
      <x:c r="L490" s="12"/>
      <x:c r="M490" s="12"/>
      <x:c r="N490" s="12"/>
      <x:c r="O490" s="12"/>
      <x:c r="P490" s="12"/>
      <x:c r="Q490" s="12"/>
      <x:c r="R490" s="12"/>
      <x:c r="S490" s="12"/>
      <x:c r="T490" s="12"/>
    </x:row>
    <x:row r="491">
      <x:c r="A491" s="12"/>
      <x:c r="B491" s="12"/>
      <x:c r="C491" s="12"/>
      <x:c r="D491" s="12"/>
      <x:c r="E491" s="12"/>
      <x:c r="F491" s="12"/>
      <x:c r="G491" s="12"/>
      <x:c r="H491" s="12"/>
      <x:c r="I491" s="12"/>
      <x:c r="J491" s="12"/>
      <x:c r="K491" s="12"/>
      <x:c r="L491" s="12"/>
      <x:c r="M491" s="12"/>
      <x:c r="N491" s="12"/>
      <x:c r="O491" s="12"/>
      <x:c r="P491" s="12"/>
      <x:c r="Q491" s="12"/>
      <x:c r="R491" s="12"/>
      <x:c r="S491" s="12"/>
      <x:c r="T491" s="12"/>
    </x:row>
    <x:row r="492">
      <x:c r="A492" s="12"/>
      <x:c r="B492" s="12"/>
      <x:c r="C492" s="12"/>
      <x:c r="D492" s="12"/>
      <x:c r="E492" s="12"/>
      <x:c r="F492" s="12"/>
      <x:c r="G492" s="12"/>
      <x:c r="H492" s="12"/>
      <x:c r="I492" s="12"/>
      <x:c r="J492" s="12"/>
      <x:c r="K492" s="12"/>
      <x:c r="L492" s="12"/>
      <x:c r="M492" s="12"/>
      <x:c r="N492" s="12"/>
      <x:c r="O492" s="12"/>
      <x:c r="P492" s="12"/>
      <x:c r="Q492" s="12"/>
      <x:c r="R492" s="12"/>
      <x:c r="S492" s="12"/>
      <x:c r="T492" s="12"/>
    </x:row>
    <x:row r="493">
      <x:c r="A493" s="12"/>
      <x:c r="B493" s="12"/>
      <x:c r="C493" s="12"/>
      <x:c r="D493" s="12"/>
      <x:c r="E493" s="12"/>
      <x:c r="F493" s="12"/>
      <x:c r="G493" s="12"/>
      <x:c r="H493" s="12"/>
      <x:c r="I493" s="12"/>
      <x:c r="J493" s="12"/>
      <x:c r="K493" s="12"/>
      <x:c r="L493" s="12"/>
      <x:c r="M493" s="12"/>
      <x:c r="N493" s="12"/>
      <x:c r="O493" s="12"/>
      <x:c r="P493" s="12"/>
      <x:c r="Q493" s="12"/>
      <x:c r="R493" s="12"/>
      <x:c r="S493" s="12"/>
      <x:c r="T493" s="12"/>
    </x:row>
    <x:row r="494">
      <x:c r="A494" s="12"/>
      <x:c r="B494" s="12"/>
      <x:c r="C494" s="12"/>
      <x:c r="D494" s="12"/>
      <x:c r="E494" s="12"/>
      <x:c r="F494" s="12"/>
      <x:c r="G494" s="12"/>
      <x:c r="H494" s="12"/>
      <x:c r="I494" s="12"/>
      <x:c r="J494" s="12"/>
      <x:c r="K494" s="12"/>
      <x:c r="L494" s="12"/>
      <x:c r="M494" s="12"/>
      <x:c r="N494" s="12"/>
      <x:c r="O494" s="12"/>
      <x:c r="P494" s="12"/>
      <x:c r="Q494" s="12"/>
      <x:c r="R494" s="12"/>
      <x:c r="S494" s="12"/>
      <x:c r="T494" s="12"/>
    </x:row>
    <x:row r="495">
      <x:c r="A495" s="12"/>
      <x:c r="B495" s="12"/>
      <x:c r="C495" s="12"/>
      <x:c r="D495" s="12"/>
      <x:c r="E495" s="12"/>
      <x:c r="F495" s="12"/>
      <x:c r="G495" s="12"/>
      <x:c r="H495" s="12"/>
      <x:c r="I495" s="12"/>
      <x:c r="J495" s="12"/>
      <x:c r="K495" s="12"/>
      <x:c r="L495" s="12"/>
      <x:c r="M495" s="12"/>
      <x:c r="N495" s="12"/>
      <x:c r="O495" s="12"/>
      <x:c r="P495" s="12"/>
      <x:c r="Q495" s="12"/>
      <x:c r="R495" s="12"/>
      <x:c r="S495" s="12"/>
      <x:c r="T495" s="12"/>
    </x:row>
    <x:row r="496">
      <x:c r="A496" s="12"/>
      <x:c r="B496" s="12"/>
      <x:c r="C496" s="12"/>
      <x:c r="D496" s="12"/>
      <x:c r="E496" s="12"/>
      <x:c r="F496" s="12"/>
      <x:c r="G496" s="12"/>
      <x:c r="H496" s="12"/>
      <x:c r="I496" s="12"/>
      <x:c r="J496" s="12"/>
      <x:c r="K496" s="12"/>
      <x:c r="L496" s="12"/>
      <x:c r="M496" s="12"/>
      <x:c r="N496" s="12"/>
      <x:c r="O496" s="12"/>
      <x:c r="P496" s="12"/>
      <x:c r="Q496" s="12"/>
      <x:c r="R496" s="12"/>
      <x:c r="S496" s="12"/>
      <x:c r="T496" s="12"/>
    </x:row>
    <x:row r="497">
      <x:c r="A497" s="12"/>
      <x:c r="B497" s="12"/>
      <x:c r="C497" s="12"/>
      <x:c r="D497" s="12"/>
      <x:c r="E497" s="12"/>
      <x:c r="F497" s="12"/>
      <x:c r="G497" s="12"/>
      <x:c r="H497" s="12"/>
      <x:c r="I497" s="12"/>
      <x:c r="J497" s="12"/>
      <x:c r="K497" s="12"/>
      <x:c r="L497" s="12"/>
      <x:c r="M497" s="12"/>
      <x:c r="N497" s="12"/>
      <x:c r="O497" s="12"/>
      <x:c r="P497" s="12"/>
      <x:c r="Q497" s="12"/>
      <x:c r="R497" s="12"/>
      <x:c r="S497" s="12"/>
      <x:c r="T497" s="12"/>
    </x:row>
    <x:row r="498">
      <x:c r="A498" s="12"/>
      <x:c r="B498" s="12"/>
      <x:c r="C498" s="12"/>
      <x:c r="D498" s="12"/>
      <x:c r="E498" s="12"/>
      <x:c r="F498" s="12"/>
      <x:c r="G498" s="12"/>
      <x:c r="H498" s="12"/>
      <x:c r="I498" s="12"/>
      <x:c r="J498" s="12"/>
      <x:c r="K498" s="12"/>
      <x:c r="L498" s="12"/>
      <x:c r="M498" s="12"/>
      <x:c r="N498" s="12"/>
      <x:c r="O498" s="12"/>
      <x:c r="P498" s="12"/>
      <x:c r="Q498" s="12"/>
      <x:c r="R498" s="12"/>
      <x:c r="S498" s="12"/>
      <x:c r="T498" s="12"/>
    </x:row>
    <x:row r="499">
      <x:c r="A499" s="12"/>
      <x:c r="B499" s="12"/>
      <x:c r="C499" s="12"/>
      <x:c r="D499" s="12"/>
      <x:c r="E499" s="12"/>
      <x:c r="F499" s="12"/>
      <x:c r="G499" s="12"/>
      <x:c r="H499" s="12"/>
      <x:c r="I499" s="12"/>
      <x:c r="J499" s="12"/>
      <x:c r="K499" s="12"/>
      <x:c r="L499" s="12"/>
      <x:c r="M499" s="12"/>
      <x:c r="N499" s="12"/>
      <x:c r="O499" s="12"/>
      <x:c r="P499" s="12"/>
      <x:c r="Q499" s="12"/>
      <x:c r="R499" s="12"/>
      <x:c r="S499" s="12"/>
      <x:c r="T499" s="12"/>
    </x:row>
    <x:row r="500">
      <x:c r="A500" s="12"/>
      <x:c r="B500" s="12"/>
      <x:c r="C500" s="12"/>
      <x:c r="D500" s="12"/>
      <x:c r="E500" s="12"/>
      <x:c r="F500" s="12"/>
      <x:c r="G500" s="12"/>
      <x:c r="H500" s="12"/>
      <x:c r="I500" s="12"/>
      <x:c r="J500" s="12"/>
      <x:c r="K500" s="12"/>
      <x:c r="L500" s="12"/>
      <x:c r="M500" s="12"/>
      <x:c r="N500" s="12"/>
      <x:c r="O500" s="12"/>
      <x:c r="P500" s="12"/>
      <x:c r="Q500" s="12"/>
      <x:c r="R500" s="12"/>
      <x:c r="S500" s="12"/>
      <x:c r="T500" s="12"/>
    </x:row>
    <x:row r="501">
      <x:c r="A501" s="12"/>
      <x:c r="B501" s="12"/>
      <x:c r="C501" s="12"/>
      <x:c r="D501" s="12"/>
      <x:c r="E501" s="12"/>
      <x:c r="F501" s="12"/>
      <x:c r="G501" s="12"/>
      <x:c r="H501" s="12"/>
      <x:c r="I501" s="12"/>
      <x:c r="J501" s="12"/>
      <x:c r="K501" s="12"/>
      <x:c r="L501" s="12"/>
      <x:c r="M501" s="12"/>
      <x:c r="N501" s="12"/>
      <x:c r="O501" s="12"/>
      <x:c r="P501" s="12"/>
      <x:c r="Q501" s="12"/>
      <x:c r="R501" s="12"/>
      <x:c r="S501" s="12"/>
      <x:c r="T501" s="12"/>
    </x:row>
  </x:sheetData>
  <x:dataValidations count="2">
    <x:dataValidation type="list" sqref="B2:B501">
      <x:formula1>"USA,ITALIA"</x:formula1>
    </x:dataValidation>
    <x:dataValidation type="list" sqref="S2:T501">
      <x:formula1>"SI,NO"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f283a50669044c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38" t="str">
        <x:v>Trading Signals &amp; Backtest - Dashboard</x:v>
      </x:c>
      <x:c r="B1" s="38"/>
      <x:c r="C1" s="38"/>
      <x:c r="D1" s="38"/>
      <x:c r="E1" s="38"/>
      <x:c r="F1" s="38"/>
      <x:c r="G1" s="38"/>
      <x:c r="H1" s="38"/>
    </x:row>
    <x:row r="3">
      <x:c r="A3" s="6" t="str">
        <x:v>KPI</x:v>
      </x:c>
      <x:c r="B3" s="6" t="str">
        <x:v>Valore</x:v>
      </x:c>
    </x:row>
    <x:row r="4">
      <x:c r="A4" t="str">
        <x:v>Trade chiusi</x:v>
      </x:c>
      <x:c r="B4" t="n">
        <x:f>COUNTIF('Trade Journal'!Q2:Q201,"CHIUSO")</x:f>
        <x:v>0</x:v>
      </x:c>
    </x:row>
    <x:row r="5">
      <x:c r="A5" t="str">
        <x:v>Trade aperti</x:v>
      </x:c>
      <x:c r="B5" t="n">
        <x:f>COUNTIF('Trade Journal'!Q2:Q201,"APERTO")</x:f>
        <x:v>0</x:v>
      </x:c>
    </x:row>
    <x:row r="6">
      <x:c r="A6" t="str">
        <x:v>Segnali registrati</x:v>
      </x:c>
      <x:c r="B6" t="n">
        <x:f>COUNTA('Signal Log'!C2:C501)</x:f>
        <x:v>0</x:v>
      </x:c>
    </x:row>
    <x:row r="7">
      <x:c r="A7" t="str">
        <x:v>Win rate</x:v>
      </x:c>
      <x:c r="B7" s="42" t="str">
        <x:f>IFERROR(COUNTIF('Trade Journal'!R2:R201,"&gt;0")/COUNT('Trade Journal'!R2:R201),"")</x:f>
      </x:c>
    </x:row>
    <x:row r="8">
      <x:c r="A8" t="str">
        <x:v>P/L lordo totale</x:v>
      </x:c>
      <x:c r="B8" s="44" t="n">
        <x:f>SUM('Trade Journal'!R2:R201)</x:f>
        <x:v>0</x:v>
      </x:c>
    </x:row>
    <x:row r="9">
      <x:c r="A9" t="str">
        <x:v>P/L medio per trade</x:v>
      </x:c>
      <x:c r="B9" s="44" t="str">
        <x:f>IFERROR(AVERAGE('Trade Journal'!R2:R201),"")</x:f>
      </x:c>
    </x:row>
    <x:row r="10">
      <x:c r="A10" t="str">
        <x:v>R medio</x:v>
      </x:c>
      <x:c r="B10" s="46" t="str">
        <x:f>IFERROR(AVERAGE('Trade Journal'!T2:T201),"")</x:f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</x:cols>
  <x:sheetData>
    <x:row r="1">
      <x:c r="A1" s="6" t="str">
        <x:v>Parametro</x:v>
      </x:c>
      <x:c r="B1" s="6" t="str">
        <x:v>USA</x:v>
      </x:c>
      <x:c r="C1" s="6" t="str">
        <x:v>ITALIA</x:v>
      </x:c>
      <x:c r="D1" s="6" t="str">
        <x:v>Note</x:v>
      </x:c>
    </x:row>
    <x:row r="2">
      <x:c r="A2" t="str">
        <x:v>Monitor rapido (min)</x:v>
      </x:c>
      <x:c r="B2" s="48" t="n">
        <x:v>5</x:v>
      </x:c>
      <x:c r="C2" s="48" t="n">
        <x:v>5</x:v>
      </x:c>
      <x:c r="D2" t="str">
        <x:v>Controllo OHLCV</x:v>
      </x:c>
    </x:row>
    <x:row r="3">
      <x:c r="A3" t="str">
        <x:v>Motore pesante (ore)</x:v>
      </x:c>
      <x:c r="B3" s="48" t="n">
        <x:v>3</x:v>
      </x:c>
      <x:c r="C3" s="48" t="n">
        <x:v>3</x:v>
      </x:c>
      <x:c r="D3" t="str">
        <x:v>Scansione completa</x:v>
      </x:c>
    </x:row>
    <x:row r="4">
      <x:c r="A4" t="str">
        <x:v>Notifica WhatsApp</x:v>
      </x:c>
      <x:c r="B4" s="48" t="str">
        <x:v>BUY_NOW / SELL / STOP</x:v>
      </x:c>
      <x:c r="C4" s="48" t="str">
        <x:v>BUY_NOW / SELL / STOP</x:v>
      </x:c>
      <x:c r="D4" t="str">
        <x:v>Solo cambio stato significativo</x:v>
      </x:c>
    </x:row>
    <x:row r="5">
      <x:c r="A5" t="str">
        <x:v>Email</x:v>
      </x:c>
      <x:c r="B5" s="48" t="str">
        <x:v>Cambio stato</x:v>
      </x:c>
      <x:c r="C5" s="48" t="str">
        <x:v>Cambio stato</x:v>
      </x:c>
      <x:c r="D5" t="str">
        <x:v>Mantiene report completo</x:v>
      </x:c>
    </x:row>
    <x:row r="6">
      <x:c r="A6" t="str">
        <x:v>Backtest</x:v>
      </x:c>
      <x:c r="B6" s="48" t="str">
        <x:v>ATTIVO</x:v>
      </x:c>
      <x:c r="C6" s="48" t="str">
        <x:v>ATTIVO</x:v>
      </x:c>
      <x:c r="D6" t="str">
        <x:v>Nessun ordine reale automatico</x:v>
      </x:c>
    </x:row>
  </x:sheetData>
  <x:pageMargins left="0.7" right="0.7" top="0.75" bottom="0.75" header="0.3" footer="0.3"/>
</x:worksheet>
</file>